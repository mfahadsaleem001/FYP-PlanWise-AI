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Estimates &amp; Accuracy - Web" sheetId="3" r:id="rId1"/>
    <sheet name="Estimates &amp; Accuracy - Mobile" sheetId="2" r:id="rId2"/>
    <sheet name="MMRE | PRED" sheetId="5" r:id="rId3"/>
    <sheet name="% of Best MRE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2" l="1"/>
  <c r="M36" i="2"/>
  <c r="S14" i="2"/>
  <c r="P14" i="2"/>
  <c r="P25" i="2"/>
  <c r="P36" i="2"/>
  <c r="S25" i="2"/>
  <c r="S36" i="2"/>
  <c r="V14" i="2"/>
  <c r="V25" i="2"/>
  <c r="V36" i="2"/>
  <c r="V57" i="2"/>
  <c r="M25" i="2"/>
  <c r="M14" i="2"/>
  <c r="S57" i="2" l="1"/>
  <c r="P57" i="2"/>
  <c r="P58" i="2" s="1"/>
  <c r="V46" i="2"/>
  <c r="V58" i="2" s="1"/>
  <c r="H46" i="2"/>
  <c r="J36" i="2"/>
  <c r="H36" i="2"/>
  <c r="H25" i="2"/>
  <c r="J25" i="2"/>
  <c r="J14" i="2"/>
  <c r="H14" i="2"/>
  <c r="S46" i="2"/>
  <c r="P46" i="2"/>
  <c r="M57" i="2"/>
  <c r="M58" i="2" s="1"/>
  <c r="M46" i="2"/>
  <c r="J46" i="2"/>
  <c r="J58" i="2" s="1"/>
  <c r="H57" i="2"/>
  <c r="H58" i="2" s="1"/>
  <c r="G46" i="2"/>
  <c r="G36" i="2"/>
  <c r="G25" i="2"/>
  <c r="G14" i="2"/>
  <c r="M68" i="3"/>
  <c r="V68" i="3"/>
  <c r="S68" i="3"/>
  <c r="P68" i="3"/>
  <c r="P57" i="3"/>
  <c r="S57" i="3"/>
  <c r="S69" i="3" s="1"/>
  <c r="V57" i="3"/>
  <c r="V48" i="3"/>
  <c r="M57" i="3"/>
  <c r="M48" i="3"/>
  <c r="P48" i="3"/>
  <c r="S48" i="3"/>
  <c r="S37" i="3"/>
  <c r="V37" i="3"/>
  <c r="P10" i="3"/>
  <c r="S10" i="3"/>
  <c r="V10" i="3"/>
  <c r="V24" i="3"/>
  <c r="S24" i="3"/>
  <c r="P24" i="3"/>
  <c r="P37" i="3"/>
  <c r="M10" i="3"/>
  <c r="M24" i="3"/>
  <c r="M37" i="3"/>
  <c r="J68" i="3"/>
  <c r="H68" i="3"/>
  <c r="S58" i="2" l="1"/>
  <c r="P69" i="3"/>
  <c r="M69" i="3"/>
  <c r="V69" i="3"/>
  <c r="J57" i="3"/>
  <c r="H57" i="3"/>
  <c r="J48" i="3" l="1"/>
  <c r="H48" i="3"/>
  <c r="J37" i="3" l="1"/>
  <c r="H37" i="3"/>
  <c r="J24" i="3" l="1"/>
  <c r="H24" i="3"/>
  <c r="D57" i="2" l="1"/>
  <c r="C57" i="2"/>
  <c r="C46" i="2"/>
  <c r="D46" i="2"/>
  <c r="D68" i="3" l="1"/>
  <c r="C68" i="3"/>
  <c r="D57" i="3"/>
  <c r="C57" i="3"/>
  <c r="J10" i="3" l="1"/>
  <c r="J69" i="3" s="1"/>
  <c r="H10" i="3"/>
  <c r="H69" i="3" s="1"/>
  <c r="B7" i="4" l="1"/>
  <c r="B6" i="4"/>
  <c r="B13" i="4"/>
  <c r="B12" i="4"/>
  <c r="G67" i="3"/>
  <c r="G66" i="3"/>
  <c r="G65" i="3"/>
  <c r="B11" i="4"/>
  <c r="B10" i="4"/>
  <c r="B9" i="4"/>
  <c r="B14" i="4" s="1"/>
  <c r="B5" i="4"/>
  <c r="B4" i="4"/>
  <c r="B3" i="4"/>
  <c r="B2" i="4"/>
  <c r="B8" i="4" s="1"/>
  <c r="N48" i="2"/>
  <c r="O48" i="2" s="1"/>
  <c r="N49" i="2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47" i="2"/>
  <c r="W48" i="2"/>
  <c r="X48" i="2" s="1"/>
  <c r="W49" i="2"/>
  <c r="X49" i="2" s="1"/>
  <c r="W50" i="2"/>
  <c r="X50" i="2" s="1"/>
  <c r="W51" i="2"/>
  <c r="X51" i="2" s="1"/>
  <c r="W52" i="2"/>
  <c r="X52" i="2" s="1"/>
  <c r="W53" i="2"/>
  <c r="X53" i="2" s="1"/>
  <c r="W54" i="2"/>
  <c r="X54" i="2" s="1"/>
  <c r="W55" i="2"/>
  <c r="X55" i="2" s="1"/>
  <c r="W56" i="2"/>
  <c r="X56" i="2" s="1"/>
  <c r="W47" i="2"/>
  <c r="T47" i="2"/>
  <c r="T55" i="2"/>
  <c r="U55" i="2" s="1"/>
  <c r="T56" i="2"/>
  <c r="U56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W50" i="3"/>
  <c r="X50" i="3" s="1"/>
  <c r="W51" i="3"/>
  <c r="X51" i="3" s="1"/>
  <c r="W52" i="3"/>
  <c r="X52" i="3" s="1"/>
  <c r="W53" i="3"/>
  <c r="X53" i="3" s="1"/>
  <c r="W54" i="3"/>
  <c r="X54" i="3" s="1"/>
  <c r="W55" i="3"/>
  <c r="X55" i="3" s="1"/>
  <c r="W56" i="3"/>
  <c r="X56" i="3" s="1"/>
  <c r="W49" i="3"/>
  <c r="T50" i="3"/>
  <c r="U50" i="3" s="1"/>
  <c r="T51" i="3"/>
  <c r="U51" i="3" s="1"/>
  <c r="T52" i="3"/>
  <c r="U52" i="3" s="1"/>
  <c r="T53" i="3"/>
  <c r="U53" i="3" s="1"/>
  <c r="T54" i="3"/>
  <c r="U54" i="3" s="1"/>
  <c r="T55" i="3"/>
  <c r="U55" i="3" s="1"/>
  <c r="T56" i="3"/>
  <c r="U56" i="3" s="1"/>
  <c r="T49" i="3"/>
  <c r="T47" i="3"/>
  <c r="Q55" i="3"/>
  <c r="R55" i="3" s="1"/>
  <c r="Q56" i="3"/>
  <c r="R56" i="3" s="1"/>
  <c r="Q50" i="3"/>
  <c r="Q51" i="3"/>
  <c r="R51" i="3" s="1"/>
  <c r="Q52" i="3"/>
  <c r="R52" i="3" s="1"/>
  <c r="Q53" i="3"/>
  <c r="R53" i="3" s="1"/>
  <c r="Q54" i="3"/>
  <c r="R54" i="3" s="1"/>
  <c r="Q49" i="3"/>
  <c r="Q48" i="2"/>
  <c r="R48" i="2" s="1"/>
  <c r="Q49" i="2"/>
  <c r="R49" i="2" s="1"/>
  <c r="Q50" i="2"/>
  <c r="R50" i="2" s="1"/>
  <c r="Q51" i="2"/>
  <c r="R51" i="2" s="1"/>
  <c r="Q52" i="2"/>
  <c r="R52" i="2" s="1"/>
  <c r="Q53" i="2"/>
  <c r="R53" i="2" s="1"/>
  <c r="Q54" i="2"/>
  <c r="R54" i="2" s="1"/>
  <c r="Q55" i="2"/>
  <c r="R55" i="2" s="1"/>
  <c r="Q56" i="2"/>
  <c r="R56" i="2" s="1"/>
  <c r="Q47" i="2"/>
  <c r="O49" i="2"/>
  <c r="N47" i="2"/>
  <c r="L54" i="2"/>
  <c r="K54" i="2"/>
  <c r="I48" i="2"/>
  <c r="I49" i="2"/>
  <c r="I50" i="2"/>
  <c r="I51" i="2"/>
  <c r="I52" i="2"/>
  <c r="I53" i="2"/>
  <c r="I54" i="2"/>
  <c r="I55" i="2"/>
  <c r="I56" i="2"/>
  <c r="I47" i="2"/>
  <c r="G54" i="2"/>
  <c r="G53" i="2"/>
  <c r="K53" i="2" s="1"/>
  <c r="L53" i="2" s="1"/>
  <c r="G52" i="2"/>
  <c r="K52" i="2" s="1"/>
  <c r="L52" i="2" s="1"/>
  <c r="B15" i="4" l="1"/>
  <c r="X47" i="2"/>
  <c r="F47" i="2"/>
  <c r="F57" i="2" s="1"/>
  <c r="E57" i="2"/>
  <c r="U47" i="2"/>
  <c r="O47" i="2"/>
  <c r="I57" i="2"/>
  <c r="R49" i="3"/>
  <c r="U49" i="3"/>
  <c r="R47" i="2"/>
  <c r="R57" i="2" s="1"/>
  <c r="L14" i="5" s="1"/>
  <c r="X49" i="3"/>
  <c r="X57" i="3" s="1"/>
  <c r="N7" i="5" s="1"/>
  <c r="W57" i="3"/>
  <c r="H7" i="5" s="1"/>
  <c r="T57" i="3"/>
  <c r="G7" i="5" s="1"/>
  <c r="U57" i="3"/>
  <c r="M7" i="5" s="1"/>
  <c r="Q57" i="3"/>
  <c r="F7" i="5" s="1"/>
  <c r="R50" i="3"/>
  <c r="R57" i="3" s="1"/>
  <c r="L7" i="5" s="1"/>
  <c r="C14" i="5"/>
  <c r="I14" i="5"/>
  <c r="U57" i="2"/>
  <c r="M14" i="5" s="1"/>
  <c r="X57" i="2"/>
  <c r="N14" i="5" s="1"/>
  <c r="O57" i="2"/>
  <c r="K14" i="5" s="1"/>
  <c r="Q57" i="2"/>
  <c r="F14" i="5" s="1"/>
  <c r="T57" i="2"/>
  <c r="G14" i="5" s="1"/>
  <c r="W57" i="2"/>
  <c r="H14" i="5" s="1"/>
  <c r="N57" i="2"/>
  <c r="E14" i="5" s="1"/>
  <c r="G55" i="2"/>
  <c r="K55" i="2" s="1"/>
  <c r="L55" i="2" s="1"/>
  <c r="G56" i="2"/>
  <c r="K56" i="2" s="1"/>
  <c r="L56" i="2" s="1"/>
  <c r="G51" i="2"/>
  <c r="K51" i="2" s="1"/>
  <c r="L51" i="2" s="1"/>
  <c r="G50" i="2"/>
  <c r="K50" i="2" s="1"/>
  <c r="L50" i="2" s="1"/>
  <c r="G48" i="2"/>
  <c r="K48" i="2" s="1"/>
  <c r="L48" i="2" s="1"/>
  <c r="G49" i="2"/>
  <c r="K49" i="2" s="1"/>
  <c r="L49" i="2" s="1"/>
  <c r="G47" i="2"/>
  <c r="G64" i="3"/>
  <c r="G57" i="2" l="1"/>
  <c r="G58" i="2" s="1"/>
  <c r="K47" i="2"/>
  <c r="E13" i="4" l="1"/>
  <c r="F13" i="4" s="1"/>
  <c r="I13" i="4"/>
  <c r="J13" i="4" s="1"/>
  <c r="K57" i="2"/>
  <c r="D14" i="5" s="1"/>
  <c r="K13" i="4"/>
  <c r="L13" i="4" s="1"/>
  <c r="C13" i="4"/>
  <c r="D13" i="4" s="1"/>
  <c r="G13" i="4"/>
  <c r="H13" i="4" s="1"/>
  <c r="M13" i="4"/>
  <c r="N13" i="4" s="1"/>
  <c r="L47" i="2"/>
  <c r="L57" i="2" s="1"/>
  <c r="J14" i="5" s="1"/>
  <c r="G33" i="3"/>
  <c r="G35" i="3"/>
  <c r="G36" i="3"/>
  <c r="I36" i="3"/>
  <c r="W35" i="3"/>
  <c r="K64" i="3"/>
  <c r="L64" i="3" s="1"/>
  <c r="K65" i="3"/>
  <c r="L65" i="3" s="1"/>
  <c r="K66" i="3"/>
  <c r="L66" i="3" s="1"/>
  <c r="K67" i="3"/>
  <c r="L67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E58" i="3"/>
  <c r="E56" i="3"/>
  <c r="E68" i="3" l="1"/>
  <c r="C8" i="5" s="1"/>
  <c r="F58" i="3"/>
  <c r="F68" i="3" s="1"/>
  <c r="I8" i="5" s="1"/>
  <c r="O63" i="3"/>
  <c r="N59" i="3"/>
  <c r="O59" i="3" s="1"/>
  <c r="N60" i="3"/>
  <c r="O60" i="3" s="1"/>
  <c r="N61" i="3"/>
  <c r="O61" i="3" s="1"/>
  <c r="N62" i="3"/>
  <c r="O62" i="3" s="1"/>
  <c r="N63" i="3"/>
  <c r="N64" i="3"/>
  <c r="O64" i="3" s="1"/>
  <c r="N65" i="3"/>
  <c r="O65" i="3" s="1"/>
  <c r="N66" i="3"/>
  <c r="O66" i="3" s="1"/>
  <c r="N67" i="3"/>
  <c r="O67" i="3" s="1"/>
  <c r="N58" i="3"/>
  <c r="N68" i="3" l="1"/>
  <c r="E8" i="5" s="1"/>
  <c r="O58" i="3"/>
  <c r="O68" i="3" s="1"/>
  <c r="K8" i="5" s="1"/>
  <c r="T59" i="3"/>
  <c r="U59" i="3" s="1"/>
  <c r="T60" i="3"/>
  <c r="U60" i="3" s="1"/>
  <c r="T61" i="3"/>
  <c r="U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U67" i="3" s="1"/>
  <c r="T58" i="3"/>
  <c r="W59" i="3"/>
  <c r="X59" i="3" s="1"/>
  <c r="W60" i="3"/>
  <c r="X60" i="3" s="1"/>
  <c r="W61" i="3"/>
  <c r="X61" i="3" s="1"/>
  <c r="W62" i="3"/>
  <c r="X62" i="3" s="1"/>
  <c r="W63" i="3"/>
  <c r="X63" i="3" s="1"/>
  <c r="W64" i="3"/>
  <c r="X64" i="3" s="1"/>
  <c r="W65" i="3"/>
  <c r="X65" i="3" s="1"/>
  <c r="W66" i="3"/>
  <c r="X66" i="3" s="1"/>
  <c r="W67" i="3"/>
  <c r="X67" i="3" s="1"/>
  <c r="W58" i="3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58" i="3"/>
  <c r="R58" i="3" l="1"/>
  <c r="R68" i="3"/>
  <c r="L8" i="5" s="1"/>
  <c r="Q68" i="3"/>
  <c r="F8" i="5" s="1"/>
  <c r="W68" i="3"/>
  <c r="H8" i="5" s="1"/>
  <c r="X58" i="3"/>
  <c r="X68" i="3" s="1"/>
  <c r="N8" i="5" s="1"/>
  <c r="U58" i="3"/>
  <c r="U68" i="3" s="1"/>
  <c r="M8" i="5" s="1"/>
  <c r="T68" i="3"/>
  <c r="G8" i="5" s="1"/>
  <c r="G48" i="3"/>
  <c r="G55" i="3"/>
  <c r="K55" i="3" s="1"/>
  <c r="L55" i="3" s="1"/>
  <c r="G56" i="3"/>
  <c r="G63" i="3"/>
  <c r="K63" i="3" s="1"/>
  <c r="L63" i="3" s="1"/>
  <c r="G62" i="3"/>
  <c r="K62" i="3" s="1"/>
  <c r="L62" i="3" s="1"/>
  <c r="N55" i="3"/>
  <c r="O55" i="3" s="1"/>
  <c r="I55" i="3"/>
  <c r="E55" i="3"/>
  <c r="F55" i="3" s="1"/>
  <c r="X35" i="3"/>
  <c r="T35" i="3"/>
  <c r="U35" i="3" s="1"/>
  <c r="Q35" i="3"/>
  <c r="R35" i="3" s="1"/>
  <c r="N35" i="3"/>
  <c r="O35" i="3" s="1"/>
  <c r="K35" i="3"/>
  <c r="L35" i="3" s="1"/>
  <c r="I35" i="3"/>
  <c r="E35" i="3"/>
  <c r="F35" i="3" s="1"/>
  <c r="W34" i="3"/>
  <c r="X34" i="3" s="1"/>
  <c r="T34" i="3"/>
  <c r="U34" i="3" s="1"/>
  <c r="Q34" i="3"/>
  <c r="R34" i="3" s="1"/>
  <c r="N34" i="3"/>
  <c r="O34" i="3" s="1"/>
  <c r="K34" i="3"/>
  <c r="L34" i="3" s="1"/>
  <c r="I34" i="3"/>
  <c r="E34" i="3"/>
  <c r="F34" i="3" s="1"/>
  <c r="G61" i="3" l="1"/>
  <c r="K61" i="3" s="1"/>
  <c r="L61" i="3" s="1"/>
  <c r="G60" i="3"/>
  <c r="K60" i="3" s="1"/>
  <c r="L60" i="3" s="1"/>
  <c r="G59" i="3"/>
  <c r="K59" i="3" s="1"/>
  <c r="L59" i="3" s="1"/>
  <c r="I59" i="3"/>
  <c r="I60" i="3"/>
  <c r="I61" i="3"/>
  <c r="I62" i="3"/>
  <c r="I63" i="3"/>
  <c r="I64" i="3"/>
  <c r="I65" i="3"/>
  <c r="I66" i="3"/>
  <c r="I67" i="3"/>
  <c r="I58" i="3"/>
  <c r="G58" i="3"/>
  <c r="G54" i="3"/>
  <c r="F56" i="3"/>
  <c r="F54" i="3"/>
  <c r="F49" i="3"/>
  <c r="E50" i="3"/>
  <c r="F50" i="3" s="1"/>
  <c r="E51" i="3"/>
  <c r="F51" i="3" s="1"/>
  <c r="E52" i="3"/>
  <c r="F52" i="3" s="1"/>
  <c r="E53" i="3"/>
  <c r="F53" i="3" s="1"/>
  <c r="E54" i="3"/>
  <c r="E49" i="3"/>
  <c r="N50" i="3"/>
  <c r="O50" i="3" s="1"/>
  <c r="N49" i="3"/>
  <c r="N52" i="3"/>
  <c r="O52" i="3" s="1"/>
  <c r="N53" i="3"/>
  <c r="O53" i="3" s="1"/>
  <c r="N54" i="3"/>
  <c r="O54" i="3" s="1"/>
  <c r="N56" i="3"/>
  <c r="O56" i="3" s="1"/>
  <c r="N51" i="3"/>
  <c r="O51" i="3" s="1"/>
  <c r="F57" i="3" l="1"/>
  <c r="I7" i="5" s="1"/>
  <c r="G68" i="3"/>
  <c r="K58" i="3"/>
  <c r="I68" i="3"/>
  <c r="E57" i="3"/>
  <c r="C7" i="5" s="1"/>
  <c r="O49" i="3"/>
  <c r="O57" i="3" s="1"/>
  <c r="K7" i="5" s="1"/>
  <c r="N57" i="3"/>
  <c r="E7" i="5" s="1"/>
  <c r="G53" i="3"/>
  <c r="K53" i="3" s="1"/>
  <c r="L53" i="3" s="1"/>
  <c r="G52" i="3"/>
  <c r="K52" i="3" s="1"/>
  <c r="L52" i="3" s="1"/>
  <c r="G51" i="3"/>
  <c r="K51" i="3" s="1"/>
  <c r="L51" i="3" s="1"/>
  <c r="I50" i="3"/>
  <c r="I51" i="3"/>
  <c r="I52" i="3"/>
  <c r="I53" i="3"/>
  <c r="I54" i="3"/>
  <c r="I56" i="3"/>
  <c r="G50" i="3"/>
  <c r="K50" i="3" s="1"/>
  <c r="L50" i="3" s="1"/>
  <c r="K54" i="3"/>
  <c r="L54" i="3" s="1"/>
  <c r="K56" i="3"/>
  <c r="I49" i="3"/>
  <c r="I41" i="3"/>
  <c r="I57" i="3" l="1"/>
  <c r="L58" i="3"/>
  <c r="L68" i="3" s="1"/>
  <c r="J8" i="5" s="1"/>
  <c r="K68" i="3"/>
  <c r="D8" i="5" s="1"/>
  <c r="G7" i="4"/>
  <c r="H7" i="4" s="1"/>
  <c r="M7" i="4"/>
  <c r="N7" i="4" s="1"/>
  <c r="I7" i="4"/>
  <c r="J7" i="4" s="1"/>
  <c r="C7" i="4"/>
  <c r="D7" i="4" s="1"/>
  <c r="K7" i="4"/>
  <c r="L7" i="4" s="1"/>
  <c r="E7" i="4"/>
  <c r="F7" i="4" s="1"/>
  <c r="L56" i="3"/>
  <c r="G49" i="3"/>
  <c r="K49" i="3" l="1"/>
  <c r="G57" i="3"/>
  <c r="C48" i="3"/>
  <c r="D48" i="3"/>
  <c r="L49" i="3" l="1"/>
  <c r="L57" i="3" s="1"/>
  <c r="J7" i="5" s="1"/>
  <c r="E6" i="4"/>
  <c r="F6" i="4" s="1"/>
  <c r="K57" i="3"/>
  <c r="D7" i="5" s="1"/>
  <c r="I6" i="4"/>
  <c r="J6" i="4" s="1"/>
  <c r="C6" i="4"/>
  <c r="D6" i="4" s="1"/>
  <c r="M6" i="4"/>
  <c r="N6" i="4" s="1"/>
  <c r="G6" i="4"/>
  <c r="H6" i="4" s="1"/>
  <c r="K6" i="4"/>
  <c r="L6" i="4" s="1"/>
  <c r="W36" i="3"/>
  <c r="X36" i="3" s="1"/>
  <c r="T36" i="3"/>
  <c r="U36" i="3" s="1"/>
  <c r="Q36" i="3"/>
  <c r="R36" i="3" s="1"/>
  <c r="N36" i="3"/>
  <c r="O36" i="3" s="1"/>
  <c r="W33" i="3"/>
  <c r="X33" i="3" s="1"/>
  <c r="N33" i="3"/>
  <c r="O33" i="3" s="1"/>
  <c r="Q33" i="3"/>
  <c r="R33" i="3" s="1"/>
  <c r="T33" i="3"/>
  <c r="U33" i="3" s="1"/>
  <c r="W32" i="3"/>
  <c r="X32" i="3" s="1"/>
  <c r="T32" i="3"/>
  <c r="U32" i="3" s="1"/>
  <c r="Q32" i="3"/>
  <c r="R32" i="3" s="1"/>
  <c r="N32" i="3"/>
  <c r="O32" i="3" s="1"/>
  <c r="W31" i="3"/>
  <c r="X31" i="3" s="1"/>
  <c r="T31" i="3"/>
  <c r="U31" i="3" s="1"/>
  <c r="Q31" i="3"/>
  <c r="R31" i="3" s="1"/>
  <c r="N31" i="3"/>
  <c r="O31" i="3" s="1"/>
  <c r="W30" i="3"/>
  <c r="X30" i="3" s="1"/>
  <c r="T30" i="3"/>
  <c r="U30" i="3" s="1"/>
  <c r="Q30" i="3"/>
  <c r="R30" i="3" s="1"/>
  <c r="N30" i="3"/>
  <c r="O30" i="3" s="1"/>
  <c r="K32" i="3" l="1"/>
  <c r="L32" i="3" s="1"/>
  <c r="K33" i="3"/>
  <c r="L33" i="3" s="1"/>
  <c r="K36" i="3"/>
  <c r="L36" i="3" s="1"/>
  <c r="I30" i="3"/>
  <c r="I31" i="3"/>
  <c r="I32" i="3"/>
  <c r="I33" i="3"/>
  <c r="K31" i="3" l="1"/>
  <c r="L31" i="3" s="1"/>
  <c r="K30" i="3"/>
  <c r="L30" i="3" s="1"/>
  <c r="E33" i="3"/>
  <c r="F33" i="3" s="1"/>
  <c r="E36" i="3"/>
  <c r="E32" i="3"/>
  <c r="F32" i="3" s="1"/>
  <c r="E31" i="3"/>
  <c r="F31" i="3" s="1"/>
  <c r="E30" i="3"/>
  <c r="F30" i="3" s="1"/>
  <c r="E43" i="3"/>
  <c r="F43" i="3" s="1"/>
  <c r="E44" i="3"/>
  <c r="F44" i="3" s="1"/>
  <c r="E45" i="3"/>
  <c r="F45" i="3" s="1"/>
  <c r="E46" i="3"/>
  <c r="F46" i="3" s="1"/>
  <c r="E47" i="3"/>
  <c r="F47" i="3" s="1"/>
  <c r="N43" i="3"/>
  <c r="O43" i="3" s="1"/>
  <c r="N44" i="3"/>
  <c r="O44" i="3" s="1"/>
  <c r="N45" i="3"/>
  <c r="O45" i="3" s="1"/>
  <c r="N46" i="3"/>
  <c r="O46" i="3" s="1"/>
  <c r="N47" i="3"/>
  <c r="O47" i="3" s="1"/>
  <c r="W43" i="3"/>
  <c r="X43" i="3" s="1"/>
  <c r="W44" i="3"/>
  <c r="X44" i="3" s="1"/>
  <c r="W45" i="3"/>
  <c r="X45" i="3" s="1"/>
  <c r="W46" i="3"/>
  <c r="X46" i="3" s="1"/>
  <c r="W47" i="3"/>
  <c r="X47" i="3" s="1"/>
  <c r="I29" i="3"/>
  <c r="W29" i="3"/>
  <c r="X29" i="3" s="1"/>
  <c r="T29" i="3"/>
  <c r="U29" i="3" s="1"/>
  <c r="Q29" i="3"/>
  <c r="R29" i="3" s="1"/>
  <c r="N29" i="3"/>
  <c r="O29" i="3" s="1"/>
  <c r="K29" i="3"/>
  <c r="L29" i="3" s="1"/>
  <c r="E29" i="3"/>
  <c r="F29" i="3" s="1"/>
  <c r="F36" i="3" l="1"/>
  <c r="W4" i="2"/>
  <c r="W5" i="2"/>
  <c r="W6" i="2"/>
  <c r="W7" i="2"/>
  <c r="W8" i="2"/>
  <c r="W9" i="2"/>
  <c r="W10" i="2"/>
  <c r="W11" i="2"/>
  <c r="W12" i="2"/>
  <c r="W13" i="2"/>
  <c r="W15" i="2"/>
  <c r="W16" i="2"/>
  <c r="W17" i="2"/>
  <c r="W18" i="2"/>
  <c r="W19" i="2"/>
  <c r="W20" i="2"/>
  <c r="W21" i="2"/>
  <c r="W22" i="2"/>
  <c r="W23" i="2"/>
  <c r="W24" i="2"/>
  <c r="W26" i="2"/>
  <c r="W27" i="2"/>
  <c r="W28" i="2"/>
  <c r="W29" i="2"/>
  <c r="W30" i="2"/>
  <c r="W31" i="2"/>
  <c r="W32" i="2"/>
  <c r="W33" i="2"/>
  <c r="W34" i="2"/>
  <c r="W35" i="2"/>
  <c r="W37" i="2"/>
  <c r="W38" i="2"/>
  <c r="W39" i="2"/>
  <c r="W40" i="2"/>
  <c r="W41" i="2"/>
  <c r="W42" i="2"/>
  <c r="W43" i="2"/>
  <c r="W44" i="2"/>
  <c r="W45" i="2"/>
  <c r="T4" i="2"/>
  <c r="T5" i="2"/>
  <c r="T6" i="2"/>
  <c r="T7" i="2"/>
  <c r="T8" i="2"/>
  <c r="T9" i="2"/>
  <c r="T10" i="2"/>
  <c r="T11" i="2"/>
  <c r="T12" i="2"/>
  <c r="T13" i="2"/>
  <c r="T15" i="2"/>
  <c r="T16" i="2"/>
  <c r="T17" i="2"/>
  <c r="T18" i="2"/>
  <c r="T19" i="2"/>
  <c r="T20" i="2"/>
  <c r="T21" i="2"/>
  <c r="T22" i="2"/>
  <c r="T23" i="2"/>
  <c r="T24" i="2"/>
  <c r="T26" i="2"/>
  <c r="T27" i="2"/>
  <c r="T28" i="2"/>
  <c r="T29" i="2"/>
  <c r="T30" i="2"/>
  <c r="T31" i="2"/>
  <c r="T32" i="2"/>
  <c r="T33" i="2"/>
  <c r="T34" i="2"/>
  <c r="T35" i="2"/>
  <c r="T37" i="2"/>
  <c r="T38" i="2"/>
  <c r="T39" i="2"/>
  <c r="T40" i="2"/>
  <c r="T41" i="2"/>
  <c r="T42" i="2"/>
  <c r="T43" i="2"/>
  <c r="T44" i="2"/>
  <c r="T45" i="2"/>
  <c r="Q4" i="2"/>
  <c r="Q5" i="2"/>
  <c r="Q6" i="2"/>
  <c r="Q7" i="2"/>
  <c r="Q8" i="2"/>
  <c r="Q9" i="2"/>
  <c r="Q10" i="2"/>
  <c r="Q11" i="2"/>
  <c r="Q12" i="2"/>
  <c r="Q13" i="2"/>
  <c r="Q15" i="2"/>
  <c r="Q16" i="2"/>
  <c r="Q17" i="2"/>
  <c r="Q18" i="2"/>
  <c r="Q19" i="2"/>
  <c r="Q20" i="2"/>
  <c r="Q21" i="2"/>
  <c r="Q22" i="2"/>
  <c r="Q23" i="2"/>
  <c r="Q24" i="2"/>
  <c r="Q26" i="2"/>
  <c r="Q27" i="2"/>
  <c r="Q28" i="2"/>
  <c r="Q29" i="2"/>
  <c r="Q30" i="2"/>
  <c r="Q31" i="2"/>
  <c r="Q32" i="2"/>
  <c r="Q33" i="2"/>
  <c r="Q34" i="2"/>
  <c r="Q35" i="2"/>
  <c r="Q37" i="2"/>
  <c r="Q38" i="2"/>
  <c r="Q39" i="2"/>
  <c r="Q40" i="2"/>
  <c r="Q41" i="2"/>
  <c r="Q42" i="2"/>
  <c r="Q43" i="2"/>
  <c r="Q44" i="2"/>
  <c r="Q45" i="2"/>
  <c r="N4" i="2"/>
  <c r="N5" i="2"/>
  <c r="N6" i="2"/>
  <c r="N7" i="2"/>
  <c r="N8" i="2"/>
  <c r="N9" i="2"/>
  <c r="N10" i="2"/>
  <c r="N11" i="2"/>
  <c r="N12" i="2"/>
  <c r="N13" i="2"/>
  <c r="N15" i="2"/>
  <c r="N16" i="2"/>
  <c r="N17" i="2"/>
  <c r="N18" i="2"/>
  <c r="N19" i="2"/>
  <c r="N20" i="2"/>
  <c r="N21" i="2"/>
  <c r="N22" i="2"/>
  <c r="N23" i="2"/>
  <c r="N24" i="2"/>
  <c r="N26" i="2"/>
  <c r="N27" i="2"/>
  <c r="N28" i="2"/>
  <c r="N29" i="2"/>
  <c r="N30" i="2"/>
  <c r="N31" i="2"/>
  <c r="N32" i="2"/>
  <c r="N33" i="2"/>
  <c r="N34" i="2"/>
  <c r="N35" i="2"/>
  <c r="K4" i="2"/>
  <c r="K5" i="2"/>
  <c r="K6" i="2"/>
  <c r="K7" i="2"/>
  <c r="K8" i="2"/>
  <c r="K9" i="2"/>
  <c r="K10" i="2"/>
  <c r="K11" i="2"/>
  <c r="K12" i="2"/>
  <c r="K13" i="2"/>
  <c r="K15" i="2"/>
  <c r="K16" i="2"/>
  <c r="K17" i="2"/>
  <c r="K18" i="2"/>
  <c r="K19" i="2"/>
  <c r="K20" i="2"/>
  <c r="K21" i="2"/>
  <c r="K22" i="2"/>
  <c r="K23" i="2"/>
  <c r="K24" i="2"/>
  <c r="K26" i="2"/>
  <c r="K27" i="2"/>
  <c r="K28" i="2"/>
  <c r="K29" i="2"/>
  <c r="K30" i="2"/>
  <c r="K31" i="2"/>
  <c r="K32" i="2"/>
  <c r="K33" i="2"/>
  <c r="K34" i="2"/>
  <c r="K35" i="2"/>
  <c r="K37" i="2"/>
  <c r="K38" i="2"/>
  <c r="K39" i="2"/>
  <c r="K40" i="2"/>
  <c r="K41" i="2"/>
  <c r="K42" i="2"/>
  <c r="K43" i="2"/>
  <c r="K44" i="2"/>
  <c r="K45" i="2"/>
  <c r="E4" i="2"/>
  <c r="E5" i="2"/>
  <c r="E6" i="2"/>
  <c r="E7" i="2"/>
  <c r="E8" i="2"/>
  <c r="E9" i="2"/>
  <c r="E10" i="2"/>
  <c r="E11" i="2"/>
  <c r="E12" i="2"/>
  <c r="E13" i="2"/>
  <c r="E15" i="2"/>
  <c r="E16" i="2"/>
  <c r="E17" i="2"/>
  <c r="E18" i="2"/>
  <c r="E19" i="2"/>
  <c r="E20" i="2"/>
  <c r="E21" i="2"/>
  <c r="E22" i="2"/>
  <c r="E23" i="2"/>
  <c r="E24" i="2"/>
  <c r="E26" i="2"/>
  <c r="E27" i="2"/>
  <c r="E28" i="2"/>
  <c r="E29" i="2"/>
  <c r="E30" i="2"/>
  <c r="E31" i="2"/>
  <c r="E32" i="2"/>
  <c r="E33" i="2"/>
  <c r="E34" i="2"/>
  <c r="E35" i="2"/>
  <c r="E37" i="2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W4" i="3"/>
  <c r="W5" i="3"/>
  <c r="W6" i="3"/>
  <c r="W7" i="3"/>
  <c r="W8" i="3"/>
  <c r="W9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5" i="3"/>
  <c r="W26" i="3"/>
  <c r="W27" i="3"/>
  <c r="W28" i="3"/>
  <c r="W38" i="3"/>
  <c r="W39" i="3"/>
  <c r="W40" i="3"/>
  <c r="W41" i="3"/>
  <c r="W42" i="3"/>
  <c r="T4" i="3"/>
  <c r="T5" i="3"/>
  <c r="T6" i="3"/>
  <c r="T7" i="3"/>
  <c r="T8" i="3"/>
  <c r="T9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5" i="3"/>
  <c r="T26" i="3"/>
  <c r="T27" i="3"/>
  <c r="T28" i="3"/>
  <c r="T38" i="3"/>
  <c r="T39" i="3"/>
  <c r="T40" i="3"/>
  <c r="T41" i="3"/>
  <c r="T42" i="3"/>
  <c r="T43" i="3"/>
  <c r="U43" i="3" s="1"/>
  <c r="T44" i="3"/>
  <c r="U44" i="3" s="1"/>
  <c r="T45" i="3"/>
  <c r="U45" i="3" s="1"/>
  <c r="T46" i="3"/>
  <c r="U46" i="3" s="1"/>
  <c r="U47" i="3"/>
  <c r="Q4" i="3"/>
  <c r="Q5" i="3"/>
  <c r="Q6" i="3"/>
  <c r="Q7" i="3"/>
  <c r="Q8" i="3"/>
  <c r="Q9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5" i="3"/>
  <c r="Q26" i="3"/>
  <c r="Q27" i="3"/>
  <c r="Q28" i="3"/>
  <c r="Q38" i="3"/>
  <c r="Q39" i="3"/>
  <c r="Q40" i="3"/>
  <c r="Q41" i="3"/>
  <c r="Q42" i="3"/>
  <c r="Q43" i="3"/>
  <c r="R43" i="3" s="1"/>
  <c r="Q44" i="3"/>
  <c r="R44" i="3" s="1"/>
  <c r="Q45" i="3"/>
  <c r="R45" i="3" s="1"/>
  <c r="Q46" i="3"/>
  <c r="R46" i="3" s="1"/>
  <c r="Q47" i="3"/>
  <c r="R47" i="3" s="1"/>
  <c r="G11" i="4" l="1"/>
  <c r="H11" i="4" s="1"/>
  <c r="F37" i="2"/>
  <c r="F46" i="2" s="1"/>
  <c r="I13" i="5" s="1"/>
  <c r="G10" i="4"/>
  <c r="H10" i="4" s="1"/>
  <c r="W48" i="3"/>
  <c r="K25" i="2"/>
  <c r="D11" i="5" s="1"/>
  <c r="E25" i="2"/>
  <c r="C11" i="5" s="1"/>
  <c r="W36" i="2"/>
  <c r="H12" i="5" s="1"/>
  <c r="Q36" i="2"/>
  <c r="F12" i="5" s="1"/>
  <c r="N36" i="2"/>
  <c r="E12" i="5" s="1"/>
  <c r="W25" i="2"/>
  <c r="H11" i="5" s="1"/>
  <c r="Q25" i="2"/>
  <c r="F11" i="5" s="1"/>
  <c r="K36" i="2"/>
  <c r="D12" i="5" s="1"/>
  <c r="N25" i="2"/>
  <c r="E11" i="5" s="1"/>
  <c r="E36" i="2"/>
  <c r="C12" i="5" s="1"/>
  <c r="I10" i="4"/>
  <c r="J10" i="4" s="1"/>
  <c r="K10" i="4"/>
  <c r="L10" i="4" s="1"/>
  <c r="T36" i="2"/>
  <c r="G12" i="5" s="1"/>
  <c r="C11" i="4"/>
  <c r="D11" i="4" s="1"/>
  <c r="E11" i="4"/>
  <c r="F11" i="4" s="1"/>
  <c r="I11" i="4"/>
  <c r="J11" i="4" s="1"/>
  <c r="T25" i="2"/>
  <c r="G11" i="5" s="1"/>
  <c r="C10" i="4"/>
  <c r="D10" i="4" s="1"/>
  <c r="K11" i="4"/>
  <c r="L11" i="4" s="1"/>
  <c r="E10" i="4"/>
  <c r="F10" i="4" s="1"/>
  <c r="M10" i="4"/>
  <c r="N10" i="4" s="1"/>
  <c r="M11" i="4"/>
  <c r="N11" i="4" s="1"/>
  <c r="Q24" i="3"/>
  <c r="F4" i="5" s="1"/>
  <c r="W37" i="3"/>
  <c r="H5" i="5" s="1"/>
  <c r="T24" i="3"/>
  <c r="G4" i="5" s="1"/>
  <c r="T37" i="3"/>
  <c r="G5" i="5" s="1"/>
  <c r="W24" i="3"/>
  <c r="H4" i="5" s="1"/>
  <c r="Q37" i="3"/>
  <c r="F5" i="5" s="1"/>
  <c r="T46" i="2"/>
  <c r="G13" i="5" s="1"/>
  <c r="K46" i="2"/>
  <c r="D13" i="5" s="1"/>
  <c r="Q46" i="2"/>
  <c r="F13" i="5" s="1"/>
  <c r="E46" i="2"/>
  <c r="C13" i="5" s="1"/>
  <c r="W46" i="2"/>
  <c r="H13" i="5" s="1"/>
  <c r="H6" i="5"/>
  <c r="T48" i="3"/>
  <c r="G6" i="5" s="1"/>
  <c r="Q48" i="3"/>
  <c r="F6" i="5" s="1"/>
  <c r="N4" i="3" l="1"/>
  <c r="N5" i="3"/>
  <c r="N6" i="3"/>
  <c r="N7" i="3"/>
  <c r="N8" i="3"/>
  <c r="N9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5" i="3"/>
  <c r="N26" i="3"/>
  <c r="N27" i="3"/>
  <c r="N28" i="3"/>
  <c r="N38" i="3"/>
  <c r="N39" i="3"/>
  <c r="N40" i="3"/>
  <c r="N41" i="3"/>
  <c r="N42" i="3"/>
  <c r="K4" i="3"/>
  <c r="K5" i="3"/>
  <c r="K6" i="3"/>
  <c r="K7" i="3"/>
  <c r="K8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5" i="3"/>
  <c r="K26" i="3"/>
  <c r="K27" i="3"/>
  <c r="K28" i="3"/>
  <c r="K38" i="3"/>
  <c r="K39" i="3"/>
  <c r="K40" i="3"/>
  <c r="K41" i="3"/>
  <c r="K42" i="3"/>
  <c r="K43" i="3"/>
  <c r="K44" i="3"/>
  <c r="K45" i="3"/>
  <c r="K46" i="3"/>
  <c r="K47" i="3"/>
  <c r="E4" i="3"/>
  <c r="E5" i="3"/>
  <c r="E6" i="3"/>
  <c r="E7" i="3"/>
  <c r="E8" i="3"/>
  <c r="E9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5" i="3"/>
  <c r="E26" i="3"/>
  <c r="E27" i="3"/>
  <c r="E28" i="3"/>
  <c r="E38" i="3"/>
  <c r="E39" i="3"/>
  <c r="E40" i="3"/>
  <c r="E41" i="3"/>
  <c r="E42" i="3"/>
  <c r="K48" i="3" l="1"/>
  <c r="E37" i="3"/>
  <c r="K24" i="3"/>
  <c r="D4" i="5" s="1"/>
  <c r="C5" i="5"/>
  <c r="M4" i="4"/>
  <c r="N4" i="4" s="1"/>
  <c r="K37" i="3"/>
  <c r="D5" i="5" s="1"/>
  <c r="N24" i="3"/>
  <c r="E4" i="5" s="1"/>
  <c r="E24" i="3"/>
  <c r="C4" i="5" s="1"/>
  <c r="N37" i="3"/>
  <c r="E5" i="5" s="1"/>
  <c r="D6" i="5"/>
  <c r="E5" i="4"/>
  <c r="F5" i="4" s="1"/>
  <c r="G5" i="4"/>
  <c r="H5" i="4" s="1"/>
  <c r="N48" i="3"/>
  <c r="E6" i="5" s="1"/>
  <c r="E48" i="3"/>
  <c r="C6" i="5" s="1"/>
  <c r="C5" i="4"/>
  <c r="D5" i="4" s="1"/>
  <c r="M5" i="4"/>
  <c r="N5" i="4" s="1"/>
  <c r="K5" i="4"/>
  <c r="L5" i="4" s="1"/>
  <c r="I5" i="4"/>
  <c r="J5" i="4" s="1"/>
  <c r="C4" i="4"/>
  <c r="D4" i="4" s="1"/>
  <c r="K4" i="4"/>
  <c r="L4" i="4" s="1"/>
  <c r="I4" i="4"/>
  <c r="J4" i="4" s="1"/>
  <c r="E4" i="4"/>
  <c r="F4" i="4" s="1"/>
  <c r="G3" i="4"/>
  <c r="H3" i="4" s="1"/>
  <c r="M3" i="4"/>
  <c r="N3" i="4" s="1"/>
  <c r="K3" i="4"/>
  <c r="L3" i="4" s="1"/>
  <c r="I3" i="4"/>
  <c r="J3" i="4" s="1"/>
  <c r="C3" i="4"/>
  <c r="D3" i="4" s="1"/>
  <c r="E3" i="4"/>
  <c r="F3" i="4" s="1"/>
  <c r="G4" i="4"/>
  <c r="H4" i="4" s="1"/>
  <c r="L43" i="3"/>
  <c r="L44" i="3"/>
  <c r="L45" i="3"/>
  <c r="L46" i="3"/>
  <c r="L47" i="3"/>
  <c r="I43" i="3"/>
  <c r="I44" i="3"/>
  <c r="I45" i="3"/>
  <c r="I46" i="3"/>
  <c r="I47" i="3"/>
  <c r="X42" i="3" l="1"/>
  <c r="U42" i="3"/>
  <c r="R42" i="3"/>
  <c r="O42" i="3"/>
  <c r="L42" i="3"/>
  <c r="I42" i="3"/>
  <c r="F42" i="3"/>
  <c r="X41" i="3"/>
  <c r="U41" i="3"/>
  <c r="R41" i="3"/>
  <c r="O41" i="3"/>
  <c r="L41" i="3"/>
  <c r="F41" i="3"/>
  <c r="X40" i="3"/>
  <c r="U40" i="3"/>
  <c r="R40" i="3"/>
  <c r="O40" i="3"/>
  <c r="L40" i="3"/>
  <c r="I40" i="3"/>
  <c r="F40" i="3"/>
  <c r="X39" i="3"/>
  <c r="U39" i="3"/>
  <c r="R39" i="3"/>
  <c r="O39" i="3"/>
  <c r="L39" i="3"/>
  <c r="I39" i="3"/>
  <c r="F39" i="3"/>
  <c r="X38" i="3"/>
  <c r="U38" i="3"/>
  <c r="R38" i="3"/>
  <c r="O38" i="3"/>
  <c r="L38" i="3"/>
  <c r="L48" i="3" s="1"/>
  <c r="I38" i="3"/>
  <c r="F38" i="3"/>
  <c r="X48" i="3" l="1"/>
  <c r="F48" i="3"/>
  <c r="I48" i="3"/>
  <c r="R48" i="3"/>
  <c r="L6" i="5" s="1"/>
  <c r="N6" i="5"/>
  <c r="U48" i="3"/>
  <c r="M6" i="5" s="1"/>
  <c r="O48" i="3"/>
  <c r="K6" i="5" s="1"/>
  <c r="I6" i="5"/>
  <c r="J6" i="5"/>
  <c r="C10" i="3"/>
  <c r="G37" i="3"/>
  <c r="G24" i="3"/>
  <c r="G10" i="3"/>
  <c r="G69" i="3" l="1"/>
  <c r="U23" i="3"/>
  <c r="X23" i="3"/>
  <c r="R23" i="3"/>
  <c r="O23" i="3"/>
  <c r="X22" i="3"/>
  <c r="U22" i="3"/>
  <c r="R22" i="3"/>
  <c r="O22" i="3"/>
  <c r="D37" i="3" l="1"/>
  <c r="C37" i="3"/>
  <c r="D24" i="3"/>
  <c r="D10" i="3"/>
  <c r="C24" i="3"/>
  <c r="C69" i="3" l="1"/>
  <c r="D69" i="3"/>
  <c r="D36" i="2"/>
  <c r="C36" i="2"/>
  <c r="D25" i="2"/>
  <c r="C25" i="2"/>
  <c r="D14" i="2"/>
  <c r="C14" i="2"/>
  <c r="C58" i="2" l="1"/>
  <c r="D58" i="2"/>
  <c r="F26" i="2"/>
  <c r="F27" i="2"/>
  <c r="F28" i="2"/>
  <c r="F29" i="2"/>
  <c r="F30" i="2"/>
  <c r="F31" i="2"/>
  <c r="F32" i="2"/>
  <c r="F33" i="2"/>
  <c r="F34" i="2"/>
  <c r="F35" i="2"/>
  <c r="F15" i="2"/>
  <c r="F16" i="2"/>
  <c r="F17" i="2"/>
  <c r="F18" i="2"/>
  <c r="F19" i="2"/>
  <c r="F20" i="2"/>
  <c r="F21" i="2"/>
  <c r="F22" i="2"/>
  <c r="F23" i="2"/>
  <c r="F24" i="2"/>
  <c r="F25" i="2" l="1"/>
  <c r="I11" i="5" s="1"/>
  <c r="F36" i="2"/>
  <c r="I12" i="5" s="1"/>
  <c r="I33" i="2"/>
  <c r="X45" i="2" l="1"/>
  <c r="U45" i="2"/>
  <c r="R45" i="2"/>
  <c r="N45" i="2"/>
  <c r="L45" i="2"/>
  <c r="I45" i="2"/>
  <c r="X44" i="2"/>
  <c r="U44" i="2"/>
  <c r="R44" i="2"/>
  <c r="N44" i="2"/>
  <c r="O44" i="2" s="1"/>
  <c r="L44" i="2"/>
  <c r="I44" i="2"/>
  <c r="X43" i="2"/>
  <c r="U43" i="2"/>
  <c r="R43" i="2"/>
  <c r="N43" i="2"/>
  <c r="O43" i="2" s="1"/>
  <c r="L43" i="2"/>
  <c r="I43" i="2"/>
  <c r="X42" i="2"/>
  <c r="U42" i="2"/>
  <c r="R42" i="2"/>
  <c r="N42" i="2"/>
  <c r="O42" i="2" s="1"/>
  <c r="L42" i="2"/>
  <c r="I42" i="2"/>
  <c r="X41" i="2"/>
  <c r="U41" i="2"/>
  <c r="R41" i="2"/>
  <c r="N41" i="2"/>
  <c r="O41" i="2" s="1"/>
  <c r="L41" i="2"/>
  <c r="I41" i="2"/>
  <c r="X40" i="2"/>
  <c r="U40" i="2"/>
  <c r="R40" i="2"/>
  <c r="N40" i="2"/>
  <c r="O40" i="2" s="1"/>
  <c r="L40" i="2"/>
  <c r="I40" i="2"/>
  <c r="X39" i="2"/>
  <c r="U39" i="2"/>
  <c r="R39" i="2"/>
  <c r="N39" i="2"/>
  <c r="O39" i="2" s="1"/>
  <c r="L39" i="2"/>
  <c r="I39" i="2"/>
  <c r="X38" i="2"/>
  <c r="U38" i="2"/>
  <c r="R38" i="2"/>
  <c r="N38" i="2"/>
  <c r="O38" i="2" s="1"/>
  <c r="L38" i="2"/>
  <c r="I38" i="2"/>
  <c r="X37" i="2"/>
  <c r="U37" i="2"/>
  <c r="R37" i="2"/>
  <c r="N37" i="2"/>
  <c r="L37" i="2"/>
  <c r="I37" i="2"/>
  <c r="X35" i="2"/>
  <c r="U35" i="2"/>
  <c r="R35" i="2"/>
  <c r="O35" i="2"/>
  <c r="L35" i="2"/>
  <c r="I35" i="2"/>
  <c r="X34" i="2"/>
  <c r="U34" i="2"/>
  <c r="R34" i="2"/>
  <c r="O34" i="2"/>
  <c r="L34" i="2"/>
  <c r="I34" i="2"/>
  <c r="X33" i="2"/>
  <c r="U33" i="2"/>
  <c r="R33" i="2"/>
  <c r="O33" i="2"/>
  <c r="L33" i="2"/>
  <c r="X32" i="2"/>
  <c r="U32" i="2"/>
  <c r="R32" i="2"/>
  <c r="O32" i="2"/>
  <c r="L32" i="2"/>
  <c r="I32" i="2"/>
  <c r="X31" i="2"/>
  <c r="U31" i="2"/>
  <c r="R31" i="2"/>
  <c r="O31" i="2"/>
  <c r="L31" i="2"/>
  <c r="I31" i="2"/>
  <c r="X30" i="2"/>
  <c r="U30" i="2"/>
  <c r="R30" i="2"/>
  <c r="O30" i="2"/>
  <c r="L30" i="2"/>
  <c r="I30" i="2"/>
  <c r="X29" i="2"/>
  <c r="U29" i="2"/>
  <c r="R29" i="2"/>
  <c r="O29" i="2"/>
  <c r="L29" i="2"/>
  <c r="I29" i="2"/>
  <c r="X28" i="2"/>
  <c r="U28" i="2"/>
  <c r="R28" i="2"/>
  <c r="O28" i="2"/>
  <c r="L28" i="2"/>
  <c r="I28" i="2"/>
  <c r="X4" i="2"/>
  <c r="X5" i="2"/>
  <c r="X6" i="2"/>
  <c r="X7" i="2"/>
  <c r="X8" i="2"/>
  <c r="X9" i="2"/>
  <c r="X10" i="2"/>
  <c r="X11" i="2"/>
  <c r="X12" i="2"/>
  <c r="X13" i="2"/>
  <c r="X15" i="2"/>
  <c r="X16" i="2"/>
  <c r="X17" i="2"/>
  <c r="X18" i="2"/>
  <c r="X19" i="2"/>
  <c r="X20" i="2"/>
  <c r="X21" i="2"/>
  <c r="X22" i="2"/>
  <c r="X23" i="2"/>
  <c r="X24" i="2"/>
  <c r="X26" i="2"/>
  <c r="X27" i="2"/>
  <c r="U4" i="2"/>
  <c r="U5" i="2"/>
  <c r="U6" i="2"/>
  <c r="U7" i="2"/>
  <c r="U8" i="2"/>
  <c r="U9" i="2"/>
  <c r="U10" i="2"/>
  <c r="U11" i="2"/>
  <c r="U12" i="2"/>
  <c r="U13" i="2"/>
  <c r="U15" i="2"/>
  <c r="U16" i="2"/>
  <c r="U17" i="2"/>
  <c r="U18" i="2"/>
  <c r="U19" i="2"/>
  <c r="U20" i="2"/>
  <c r="U21" i="2"/>
  <c r="U22" i="2"/>
  <c r="U23" i="2"/>
  <c r="U24" i="2"/>
  <c r="U26" i="2"/>
  <c r="U27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6" i="2"/>
  <c r="R27" i="2"/>
  <c r="O4" i="2"/>
  <c r="O5" i="2"/>
  <c r="O6" i="2"/>
  <c r="O7" i="2"/>
  <c r="O8" i="2"/>
  <c r="O9" i="2"/>
  <c r="O10" i="2"/>
  <c r="O11" i="2"/>
  <c r="O12" i="2"/>
  <c r="O13" i="2"/>
  <c r="O15" i="2"/>
  <c r="O16" i="2"/>
  <c r="O17" i="2"/>
  <c r="O18" i="2"/>
  <c r="O19" i="2"/>
  <c r="O20" i="2"/>
  <c r="O21" i="2"/>
  <c r="O22" i="2"/>
  <c r="O23" i="2"/>
  <c r="O24" i="2"/>
  <c r="O26" i="2"/>
  <c r="O27" i="2"/>
  <c r="W3" i="2"/>
  <c r="W58" i="2" s="1"/>
  <c r="T3" i="2"/>
  <c r="T58" i="2" s="1"/>
  <c r="Q3" i="2"/>
  <c r="Q58" i="2" s="1"/>
  <c r="N3" i="2"/>
  <c r="I46" i="2" l="1"/>
  <c r="G12" i="4"/>
  <c r="H12" i="4" s="1"/>
  <c r="N58" i="2"/>
  <c r="E12" i="4"/>
  <c r="F12" i="4" s="1"/>
  <c r="X46" i="2"/>
  <c r="N13" i="5" s="1"/>
  <c r="X25" i="2"/>
  <c r="N11" i="5" s="1"/>
  <c r="U3" i="2"/>
  <c r="U58" i="2" s="1"/>
  <c r="T14" i="2"/>
  <c r="G10" i="5" s="1"/>
  <c r="O3" i="2"/>
  <c r="N14" i="2"/>
  <c r="E10" i="5" s="1"/>
  <c r="R36" i="2"/>
  <c r="L12" i="5" s="1"/>
  <c r="L46" i="2"/>
  <c r="J13" i="5" s="1"/>
  <c r="O36" i="2"/>
  <c r="K12" i="5" s="1"/>
  <c r="R46" i="2"/>
  <c r="L13" i="5" s="1"/>
  <c r="R3" i="2"/>
  <c r="Q14" i="2"/>
  <c r="F10" i="5" s="1"/>
  <c r="X3" i="2"/>
  <c r="W14" i="2"/>
  <c r="H10" i="5" s="1"/>
  <c r="R25" i="2"/>
  <c r="L11" i="5" s="1"/>
  <c r="O25" i="2"/>
  <c r="K11" i="5" s="1"/>
  <c r="X36" i="2"/>
  <c r="N12" i="5" s="1"/>
  <c r="U25" i="2"/>
  <c r="M11" i="5" s="1"/>
  <c r="U14" i="2"/>
  <c r="M10" i="5" s="1"/>
  <c r="U36" i="2"/>
  <c r="M12" i="5" s="1"/>
  <c r="U46" i="2"/>
  <c r="M13" i="5" s="1"/>
  <c r="O45" i="2"/>
  <c r="M12" i="4"/>
  <c r="N12" i="4" s="1"/>
  <c r="I12" i="4"/>
  <c r="J12" i="4" s="1"/>
  <c r="C12" i="4"/>
  <c r="D12" i="4" s="1"/>
  <c r="K12" i="4"/>
  <c r="L12" i="4" s="1"/>
  <c r="O37" i="2"/>
  <c r="N46" i="2"/>
  <c r="E13" i="5" s="1"/>
  <c r="I4" i="2"/>
  <c r="I5" i="2"/>
  <c r="I6" i="2"/>
  <c r="I7" i="2"/>
  <c r="I8" i="2"/>
  <c r="I9" i="2"/>
  <c r="I10" i="2"/>
  <c r="I11" i="2"/>
  <c r="I12" i="2"/>
  <c r="I13" i="2"/>
  <c r="I15" i="2"/>
  <c r="I16" i="2"/>
  <c r="I17" i="2"/>
  <c r="I18" i="2"/>
  <c r="I19" i="2"/>
  <c r="I20" i="2"/>
  <c r="I21" i="2"/>
  <c r="I22" i="2"/>
  <c r="I23" i="2"/>
  <c r="I24" i="2"/>
  <c r="I26" i="2"/>
  <c r="I27" i="2"/>
  <c r="L4" i="2"/>
  <c r="L5" i="2"/>
  <c r="L6" i="2"/>
  <c r="L7" i="2"/>
  <c r="L8" i="2"/>
  <c r="L9" i="2"/>
  <c r="L10" i="2"/>
  <c r="L11" i="2"/>
  <c r="L12" i="2"/>
  <c r="L13" i="2"/>
  <c r="L15" i="2"/>
  <c r="L16" i="2"/>
  <c r="L17" i="2"/>
  <c r="L18" i="2"/>
  <c r="L19" i="2"/>
  <c r="L20" i="2"/>
  <c r="L21" i="2"/>
  <c r="L22" i="2"/>
  <c r="L23" i="2"/>
  <c r="L24" i="2"/>
  <c r="L26" i="2"/>
  <c r="L27" i="2"/>
  <c r="K3" i="2"/>
  <c r="K58" i="2" s="1"/>
  <c r="I3" i="2"/>
  <c r="L23" i="3"/>
  <c r="I23" i="3"/>
  <c r="F23" i="3"/>
  <c r="L22" i="3"/>
  <c r="I22" i="3"/>
  <c r="F22" i="3"/>
  <c r="X28" i="3"/>
  <c r="U28" i="3"/>
  <c r="R28" i="3"/>
  <c r="O28" i="3"/>
  <c r="L28" i="3"/>
  <c r="I28" i="3"/>
  <c r="F28" i="3"/>
  <c r="X27" i="3"/>
  <c r="U27" i="3"/>
  <c r="R27" i="3"/>
  <c r="O27" i="3"/>
  <c r="L27" i="3"/>
  <c r="I27" i="3"/>
  <c r="F27" i="3"/>
  <c r="X26" i="3"/>
  <c r="U26" i="3"/>
  <c r="R26" i="3"/>
  <c r="O26" i="3"/>
  <c r="L26" i="3"/>
  <c r="I26" i="3"/>
  <c r="F26" i="3"/>
  <c r="X25" i="3"/>
  <c r="U25" i="3"/>
  <c r="R25" i="3"/>
  <c r="O25" i="3"/>
  <c r="O37" i="3" s="1"/>
  <c r="L25" i="3"/>
  <c r="I25" i="3"/>
  <c r="F25" i="3"/>
  <c r="X21" i="3"/>
  <c r="U21" i="3"/>
  <c r="R21" i="3"/>
  <c r="O21" i="3"/>
  <c r="L21" i="3"/>
  <c r="I21" i="3"/>
  <c r="F21" i="3"/>
  <c r="X20" i="3"/>
  <c r="U20" i="3"/>
  <c r="R20" i="3"/>
  <c r="O20" i="3"/>
  <c r="L20" i="3"/>
  <c r="I20" i="3"/>
  <c r="F20" i="3"/>
  <c r="X19" i="3"/>
  <c r="U19" i="3"/>
  <c r="R19" i="3"/>
  <c r="O19" i="3"/>
  <c r="L19" i="3"/>
  <c r="I19" i="3"/>
  <c r="F19" i="3"/>
  <c r="X18" i="3"/>
  <c r="U18" i="3"/>
  <c r="R18" i="3"/>
  <c r="O18" i="3"/>
  <c r="L18" i="3"/>
  <c r="I18" i="3"/>
  <c r="F18" i="3"/>
  <c r="X17" i="3"/>
  <c r="U17" i="3"/>
  <c r="R17" i="3"/>
  <c r="O17" i="3"/>
  <c r="L17" i="3"/>
  <c r="I17" i="3"/>
  <c r="F17" i="3"/>
  <c r="X16" i="3"/>
  <c r="U16" i="3"/>
  <c r="R16" i="3"/>
  <c r="O16" i="3"/>
  <c r="L16" i="3"/>
  <c r="I16" i="3"/>
  <c r="F16" i="3"/>
  <c r="X15" i="3"/>
  <c r="U15" i="3"/>
  <c r="R15" i="3"/>
  <c r="O15" i="3"/>
  <c r="L15" i="3"/>
  <c r="I15" i="3"/>
  <c r="F15" i="3"/>
  <c r="X14" i="3"/>
  <c r="U14" i="3"/>
  <c r="R14" i="3"/>
  <c r="O14" i="3"/>
  <c r="L14" i="3"/>
  <c r="I14" i="3"/>
  <c r="F14" i="3"/>
  <c r="X13" i="3"/>
  <c r="U13" i="3"/>
  <c r="R13" i="3"/>
  <c r="O13" i="3"/>
  <c r="L13" i="3"/>
  <c r="I13" i="3"/>
  <c r="F13" i="3"/>
  <c r="X12" i="3"/>
  <c r="U12" i="3"/>
  <c r="R12" i="3"/>
  <c r="O12" i="3"/>
  <c r="L12" i="3"/>
  <c r="I12" i="3"/>
  <c r="F12" i="3"/>
  <c r="X11" i="3"/>
  <c r="U11" i="3"/>
  <c r="R11" i="3"/>
  <c r="O11" i="3"/>
  <c r="L11" i="3"/>
  <c r="I11" i="3"/>
  <c r="F11" i="3"/>
  <c r="X9" i="3"/>
  <c r="U9" i="3"/>
  <c r="R9" i="3"/>
  <c r="O9" i="3"/>
  <c r="L9" i="3"/>
  <c r="I9" i="3"/>
  <c r="F9" i="3"/>
  <c r="X8" i="3"/>
  <c r="U8" i="3"/>
  <c r="R8" i="3"/>
  <c r="O8" i="3"/>
  <c r="L8" i="3"/>
  <c r="I8" i="3"/>
  <c r="F8" i="3"/>
  <c r="X7" i="3"/>
  <c r="U7" i="3"/>
  <c r="R7" i="3"/>
  <c r="O7" i="3"/>
  <c r="L7" i="3"/>
  <c r="I7" i="3"/>
  <c r="F7" i="3"/>
  <c r="X6" i="3"/>
  <c r="U6" i="3"/>
  <c r="R6" i="3"/>
  <c r="O6" i="3"/>
  <c r="L6" i="3"/>
  <c r="I6" i="3"/>
  <c r="F6" i="3"/>
  <c r="X5" i="3"/>
  <c r="U5" i="3"/>
  <c r="R5" i="3"/>
  <c r="O5" i="3"/>
  <c r="L5" i="3"/>
  <c r="I5" i="3"/>
  <c r="F5" i="3"/>
  <c r="X4" i="3"/>
  <c r="U4" i="3"/>
  <c r="R4" i="3"/>
  <c r="O4" i="3"/>
  <c r="L4" i="3"/>
  <c r="I4" i="3"/>
  <c r="F4" i="3"/>
  <c r="W3" i="3"/>
  <c r="W69" i="3" s="1"/>
  <c r="T3" i="3"/>
  <c r="Q3" i="3"/>
  <c r="Q69" i="3" s="1"/>
  <c r="N3" i="3"/>
  <c r="K3" i="3"/>
  <c r="I3" i="3"/>
  <c r="I10" i="3" s="1"/>
  <c r="E3" i="3"/>
  <c r="I36" i="2" l="1"/>
  <c r="R14" i="2"/>
  <c r="L10" i="5" s="1"/>
  <c r="R58" i="2"/>
  <c r="I14" i="2"/>
  <c r="I25" i="2"/>
  <c r="I58" i="2" s="1"/>
  <c r="X14" i="2"/>
  <c r="N10" i="5" s="1"/>
  <c r="X58" i="2"/>
  <c r="O14" i="2"/>
  <c r="K10" i="5" s="1"/>
  <c r="O58" i="2"/>
  <c r="K10" i="3"/>
  <c r="D3" i="5" s="1"/>
  <c r="K69" i="3"/>
  <c r="N10" i="3"/>
  <c r="E3" i="5" s="1"/>
  <c r="N69" i="3"/>
  <c r="T10" i="3"/>
  <c r="G3" i="5" s="1"/>
  <c r="T69" i="3"/>
  <c r="F37" i="3"/>
  <c r="I5" i="5" s="1"/>
  <c r="I37" i="3"/>
  <c r="I69" i="3" s="1"/>
  <c r="I24" i="3"/>
  <c r="C2" i="4"/>
  <c r="E69" i="3"/>
  <c r="L3" i="2"/>
  <c r="K14" i="2"/>
  <c r="D10" i="5" s="1"/>
  <c r="L36" i="2"/>
  <c r="J12" i="5" s="1"/>
  <c r="L25" i="2"/>
  <c r="J11" i="5" s="1"/>
  <c r="O46" i="2"/>
  <c r="K13" i="5" s="1"/>
  <c r="X24" i="3"/>
  <c r="N4" i="5" s="1"/>
  <c r="L37" i="3"/>
  <c r="J5" i="5" s="1"/>
  <c r="K5" i="5"/>
  <c r="F24" i="3"/>
  <c r="I4" i="5" s="1"/>
  <c r="R37" i="3"/>
  <c r="E10" i="3"/>
  <c r="C3" i="5" s="1"/>
  <c r="U37" i="3"/>
  <c r="M5" i="5" s="1"/>
  <c r="X37" i="3"/>
  <c r="N5" i="5" s="1"/>
  <c r="R3" i="3"/>
  <c r="Q10" i="3"/>
  <c r="F3" i="5" s="1"/>
  <c r="O24" i="3"/>
  <c r="K4" i="5" s="1"/>
  <c r="R24" i="3"/>
  <c r="L4" i="5" s="1"/>
  <c r="L24" i="3"/>
  <c r="J4" i="5" s="1"/>
  <c r="X3" i="3"/>
  <c r="W10" i="3"/>
  <c r="H3" i="5" s="1"/>
  <c r="U24" i="3"/>
  <c r="M4" i="5" s="1"/>
  <c r="U3" i="3"/>
  <c r="K2" i="4"/>
  <c r="F3" i="3"/>
  <c r="M2" i="4"/>
  <c r="I2" i="4"/>
  <c r="L3" i="3"/>
  <c r="E2" i="4"/>
  <c r="O3" i="3"/>
  <c r="G2" i="4"/>
  <c r="F10" i="2"/>
  <c r="F11" i="2"/>
  <c r="F12" i="2"/>
  <c r="F13" i="2"/>
  <c r="L14" i="2" l="1"/>
  <c r="J10" i="5" s="1"/>
  <c r="L58" i="2"/>
  <c r="I8" i="4"/>
  <c r="J8" i="4" s="1"/>
  <c r="J2" i="4"/>
  <c r="X10" i="3"/>
  <c r="N3" i="5" s="1"/>
  <c r="X69" i="3"/>
  <c r="K8" i="4"/>
  <c r="L8" i="4" s="1"/>
  <c r="L2" i="4"/>
  <c r="C8" i="4"/>
  <c r="D8" i="4" s="1"/>
  <c r="D2" i="4"/>
  <c r="E8" i="4"/>
  <c r="F8" i="4" s="1"/>
  <c r="F2" i="4"/>
  <c r="L10" i="3"/>
  <c r="J3" i="5" s="1"/>
  <c r="L69" i="3"/>
  <c r="M8" i="4"/>
  <c r="N8" i="4" s="1"/>
  <c r="N2" i="4"/>
  <c r="F69" i="3"/>
  <c r="F10" i="3"/>
  <c r="I3" i="5" s="1"/>
  <c r="G8" i="4"/>
  <c r="H8" i="4" s="1"/>
  <c r="H2" i="4"/>
  <c r="U10" i="3"/>
  <c r="M3" i="5" s="1"/>
  <c r="U69" i="3"/>
  <c r="O10" i="3"/>
  <c r="K3" i="5" s="1"/>
  <c r="O69" i="3"/>
  <c r="R10" i="3"/>
  <c r="L3" i="5" s="1"/>
  <c r="R69" i="3"/>
  <c r="L5" i="5"/>
  <c r="F4" i="2"/>
  <c r="F5" i="2"/>
  <c r="F6" i="2"/>
  <c r="F7" i="2"/>
  <c r="F8" i="2"/>
  <c r="F9" i="2"/>
  <c r="E3" i="2"/>
  <c r="E58" i="2" l="1"/>
  <c r="G9" i="4"/>
  <c r="F3" i="2"/>
  <c r="E14" i="2"/>
  <c r="C10" i="5" s="1"/>
  <c r="C9" i="4"/>
  <c r="M9" i="4"/>
  <c r="K9" i="4"/>
  <c r="I9" i="4"/>
  <c r="E9" i="4"/>
  <c r="J9" i="4" l="1"/>
  <c r="I14" i="4"/>
  <c r="J14" i="4" s="1"/>
  <c r="D9" i="4"/>
  <c r="C14" i="4"/>
  <c r="D14" i="4" s="1"/>
  <c r="F14" i="2"/>
  <c r="I10" i="5" s="1"/>
  <c r="F58" i="2"/>
  <c r="N9" i="4"/>
  <c r="M14" i="4"/>
  <c r="N14" i="4" s="1"/>
  <c r="G14" i="4"/>
  <c r="H14" i="4" s="1"/>
  <c r="H9" i="4"/>
  <c r="L9" i="4"/>
  <c r="K14" i="4"/>
  <c r="L14" i="4" s="1"/>
  <c r="F9" i="4"/>
  <c r="E14" i="4"/>
  <c r="F14" i="4" s="1"/>
  <c r="E15" i="4"/>
  <c r="F15" i="4" s="1"/>
  <c r="I15" i="4"/>
  <c r="J15" i="4" s="1"/>
  <c r="G15" i="4"/>
  <c r="H15" i="4" s="1"/>
  <c r="M15" i="4"/>
  <c r="N15" i="4" s="1"/>
  <c r="C15" i="4"/>
  <c r="D15" i="4" s="1"/>
  <c r="K15" i="4" l="1"/>
  <c r="L15" i="4" s="1"/>
</calcChain>
</file>

<file path=xl/sharedStrings.xml><?xml version="1.0" encoding="utf-8"?>
<sst xmlns="http://schemas.openxmlformats.org/spreadsheetml/2006/main" count="256" uniqueCount="148">
  <si>
    <t>ChatGPT</t>
  </si>
  <si>
    <t>DeepSeek</t>
  </si>
  <si>
    <t>Copilot</t>
  </si>
  <si>
    <t>Gemini</t>
  </si>
  <si>
    <t>C1P1U1</t>
  </si>
  <si>
    <t>C1P1U2</t>
  </si>
  <si>
    <t>C1P1U3</t>
  </si>
  <si>
    <t>C1P1U4</t>
  </si>
  <si>
    <t>C1P1U5</t>
  </si>
  <si>
    <t>C1P1U6</t>
  </si>
  <si>
    <t>C1P1U7</t>
  </si>
  <si>
    <t>C1P2U1</t>
  </si>
  <si>
    <t>C1P2U2</t>
  </si>
  <si>
    <t>C1P2U3</t>
  </si>
  <si>
    <t>C1P2U4</t>
  </si>
  <si>
    <t>C1P2U5</t>
  </si>
  <si>
    <t>C1P2U6</t>
  </si>
  <si>
    <t>C1P2U7</t>
  </si>
  <si>
    <t>C1P2U8</t>
  </si>
  <si>
    <t>C1P2U9</t>
  </si>
  <si>
    <t>C1P2U10</t>
  </si>
  <si>
    <t>C1P2U11</t>
  </si>
  <si>
    <t>C2P1U1</t>
  </si>
  <si>
    <t>C2P1U2</t>
  </si>
  <si>
    <t>C2P1U3</t>
  </si>
  <si>
    <t>C2P1U4</t>
  </si>
  <si>
    <t>C2P1U5</t>
  </si>
  <si>
    <t>C3P1U1</t>
  </si>
  <si>
    <t>C3P1U2</t>
  </si>
  <si>
    <t>C3P1U3</t>
  </si>
  <si>
    <t>C3P1U4</t>
  </si>
  <si>
    <t>C3P1U5</t>
  </si>
  <si>
    <t>C3P1U6</t>
  </si>
  <si>
    <t>C3P1U7</t>
  </si>
  <si>
    <t>C3P1U8</t>
  </si>
  <si>
    <t>C3P1U9</t>
  </si>
  <si>
    <t>C3P1U10</t>
  </si>
  <si>
    <t>C3P1U11</t>
  </si>
  <si>
    <t>C4P1U1</t>
  </si>
  <si>
    <t>C4P1U2</t>
  </si>
  <si>
    <t>C4P1U3</t>
  </si>
  <si>
    <t>C4P1U4</t>
  </si>
  <si>
    <t>C4P1U5</t>
  </si>
  <si>
    <t>C4P1U6</t>
  </si>
  <si>
    <t>C4P1U7</t>
  </si>
  <si>
    <t>C4P1U8</t>
  </si>
  <si>
    <t>C4P1U9</t>
  </si>
  <si>
    <t>C4P1U10</t>
  </si>
  <si>
    <t>C5P1U1</t>
  </si>
  <si>
    <t>C5P1U2</t>
  </si>
  <si>
    <t>C5P1U3</t>
  </si>
  <si>
    <t>C5P1U4</t>
  </si>
  <si>
    <t>C5P1U5</t>
  </si>
  <si>
    <t>C5P1U6</t>
  </si>
  <si>
    <t>C5P1U7</t>
  </si>
  <si>
    <t>C5P1U8</t>
  </si>
  <si>
    <t>C5P1U9</t>
  </si>
  <si>
    <t>C5P1U10</t>
  </si>
  <si>
    <t>Project</t>
  </si>
  <si>
    <t>User Story Key</t>
  </si>
  <si>
    <t>Actual Effort (PH)</t>
  </si>
  <si>
    <t>Expert Judgement Single Point</t>
  </si>
  <si>
    <t>Planning Poker</t>
  </si>
  <si>
    <t>Estimates (PH)</t>
  </si>
  <si>
    <t>MRE</t>
  </si>
  <si>
    <t>± 25%</t>
  </si>
  <si>
    <t>Iterations</t>
  </si>
  <si>
    <t>C1P1</t>
  </si>
  <si>
    <t>Total</t>
  </si>
  <si>
    <t>C1P2</t>
  </si>
  <si>
    <t>C2P1</t>
  </si>
  <si>
    <t>C3P1</t>
  </si>
  <si>
    <t>C4P1</t>
  </si>
  <si>
    <t>C5P1</t>
  </si>
  <si>
    <t>C1P2U12</t>
  </si>
  <si>
    <t>C1P2U13</t>
  </si>
  <si>
    <t>C2P2U1</t>
  </si>
  <si>
    <t>C2P2U2</t>
  </si>
  <si>
    <t>C2P2U3</t>
  </si>
  <si>
    <t>C2P2U4</t>
  </si>
  <si>
    <t>C2P2U5</t>
  </si>
  <si>
    <t>C2P2U6</t>
  </si>
  <si>
    <t>C2P2U7</t>
  </si>
  <si>
    <t>C2P2U8</t>
  </si>
  <si>
    <t>C2P2U9</t>
  </si>
  <si>
    <t>C2P2U10</t>
  </si>
  <si>
    <t>C2P2</t>
  </si>
  <si>
    <t xml:space="preserve">C1P1 </t>
  </si>
  <si>
    <t>C6P1U1</t>
  </si>
  <si>
    <t>C6P1U2</t>
  </si>
  <si>
    <t>C6P1U3</t>
  </si>
  <si>
    <t>C6P1U4</t>
  </si>
  <si>
    <t>C6P1U5</t>
  </si>
  <si>
    <t>C6P1U6</t>
  </si>
  <si>
    <t>C6P1U7</t>
  </si>
  <si>
    <t>C6P1U8</t>
  </si>
  <si>
    <t>C6P1U9</t>
  </si>
  <si>
    <t>C6P1</t>
  </si>
  <si>
    <t>Grand Total</t>
  </si>
  <si>
    <t>Web</t>
  </si>
  <si>
    <t>Mobile</t>
  </si>
  <si>
    <t>C2P1U6</t>
  </si>
  <si>
    <t>C2P1U7</t>
  </si>
  <si>
    <t>C2P1U8</t>
  </si>
  <si>
    <t>C2P1U9</t>
  </si>
  <si>
    <t>C2P1U10</t>
  </si>
  <si>
    <t xml:space="preserve">Project </t>
  </si>
  <si>
    <t>MMRE</t>
  </si>
  <si>
    <t>PRED</t>
  </si>
  <si>
    <t>Platform</t>
  </si>
  <si>
    <t>EJ (SP)</t>
  </si>
  <si>
    <t>PP</t>
  </si>
  <si>
    <t>C7P1U1</t>
  </si>
  <si>
    <t>C7P1U2</t>
  </si>
  <si>
    <t>C7P1U3</t>
  </si>
  <si>
    <t>C7P1U4</t>
  </si>
  <si>
    <t>C7P1U5</t>
  </si>
  <si>
    <t>C2P3</t>
  </si>
  <si>
    <t>C2P3U1</t>
  </si>
  <si>
    <t>C2P3U2</t>
  </si>
  <si>
    <t>C2P3U3</t>
  </si>
  <si>
    <t>C2P3U4</t>
  </si>
  <si>
    <t>C2P3U5</t>
  </si>
  <si>
    <t>C2P3U6</t>
  </si>
  <si>
    <t>C2P3U7</t>
  </si>
  <si>
    <t>C7P1</t>
  </si>
  <si>
    <t>C7P1U6</t>
  </si>
  <si>
    <t>C7P1U7</t>
  </si>
  <si>
    <t>C7P1U8</t>
  </si>
  <si>
    <t>C7P1U9</t>
  </si>
  <si>
    <t>C7P1U10</t>
  </si>
  <si>
    <t>C2P1U11</t>
  </si>
  <si>
    <t>C2P1U12</t>
  </si>
  <si>
    <t>C2P3U8</t>
  </si>
  <si>
    <t>C5P2</t>
  </si>
  <si>
    <t>Total User Stories</t>
  </si>
  <si>
    <t>C5P2U1</t>
  </si>
  <si>
    <t>C5P2U2</t>
  </si>
  <si>
    <t>C5P2U3</t>
  </si>
  <si>
    <t>C5P2U4</t>
  </si>
  <si>
    <t>C5P2U5</t>
  </si>
  <si>
    <t>C5P2U6</t>
  </si>
  <si>
    <t>C5P2U7</t>
  </si>
  <si>
    <t>C5P2U8</t>
  </si>
  <si>
    <t>C5P2U9</t>
  </si>
  <si>
    <t>C5P2U10</t>
  </si>
  <si>
    <t>Effort (Hours)</t>
  </si>
  <si>
    <t>Effort (PH)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</si>
</sst>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%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u/>
      <sz val="11"/>
      <color rgb="FF006100"/>
      <name val="Calibri"/>
      <family val="2"/>
      <scheme val="minor"/>
    </font>
    <font>
      <u/>
      <sz val="11"/>
      <color rgb="FF9C6500"/>
      <name val="Calibri"/>
      <family val="2"/>
      <scheme val="minor"/>
    </font>
    <font>
      <b/>
      <u/>
      <sz val="11"/>
      <color rgb="FF9C65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10" borderId="0" applyNumberFormat="0" applyBorder="0" applyAlignment="0" applyProtection="0"/>
  </cellStyleXfs>
  <cellXfs count="143">
    <xf numFmtId="0" fontId="0" fillId="0" borderId="0" xfId="0"/>
    <xf numFmtId="0" fontId="1" fillId="4" borderId="2" xfId="3" applyBorder="1"/>
    <xf numFmtId="0" fontId="1" fillId="5" borderId="2" xfId="4" applyBorder="1"/>
    <xf numFmtId="0" fontId="1" fillId="6" borderId="2" xfId="5" applyBorder="1"/>
    <xf numFmtId="0" fontId="1" fillId="7" borderId="2" xfId="6" applyBorder="1"/>
    <xf numFmtId="0" fontId="1" fillId="3" borderId="2" xfId="2" applyBorder="1"/>
    <xf numFmtId="0" fontId="3" fillId="4" borderId="2" xfId="3" applyFont="1" applyBorder="1"/>
    <xf numFmtId="0" fontId="3" fillId="5" borderId="2" xfId="4" applyFont="1" applyBorder="1"/>
    <xf numFmtId="0" fontId="2" fillId="2" borderId="1" xfId="1" applyFont="1"/>
    <xf numFmtId="0" fontId="3" fillId="7" borderId="2" xfId="6" applyFont="1" applyBorder="1"/>
    <xf numFmtId="0" fontId="3" fillId="3" borderId="2" xfId="2" applyFont="1" applyBorder="1"/>
    <xf numFmtId="0" fontId="4" fillId="2" borderId="1" xfId="1" applyFont="1"/>
    <xf numFmtId="0" fontId="3" fillId="6" borderId="2" xfId="5" applyFont="1" applyBorder="1"/>
    <xf numFmtId="0" fontId="0" fillId="5" borderId="2" xfId="4" applyFont="1" applyBorder="1"/>
    <xf numFmtId="0" fontId="3" fillId="6" borderId="5" xfId="5" applyFont="1" applyBorder="1" applyAlignment="1">
      <alignment horizontal="center"/>
    </xf>
    <xf numFmtId="0" fontId="3" fillId="6" borderId="2" xfId="5" applyFont="1" applyBorder="1" applyAlignment="1">
      <alignment horizontal="center" vertical="center"/>
    </xf>
    <xf numFmtId="164" fontId="1" fillId="4" borderId="2" xfId="3" applyNumberFormat="1" applyBorder="1"/>
    <xf numFmtId="164" fontId="1" fillId="5" borderId="2" xfId="4" applyNumberFormat="1" applyBorder="1"/>
    <xf numFmtId="164" fontId="4" fillId="2" borderId="1" xfId="1" applyNumberFormat="1" applyFont="1"/>
    <xf numFmtId="164" fontId="1" fillId="7" borderId="2" xfId="6" applyNumberFormat="1" applyBorder="1"/>
    <xf numFmtId="164" fontId="1" fillId="3" borderId="2" xfId="2" applyNumberFormat="1" applyBorder="1"/>
    <xf numFmtId="164" fontId="1" fillId="7" borderId="2" xfId="6" applyNumberFormat="1" applyFont="1" applyBorder="1"/>
    <xf numFmtId="0" fontId="3" fillId="0" borderId="2" xfId="0" applyFont="1" applyBorder="1"/>
    <xf numFmtId="0" fontId="3" fillId="6" borderId="3" xfId="5" applyFont="1" applyBorder="1"/>
    <xf numFmtId="0" fontId="3" fillId="6" borderId="5" xfId="5" applyFont="1" applyBorder="1" applyAlignment="1">
      <alignment horizontal="center" vertical="center"/>
    </xf>
    <xf numFmtId="0" fontId="3" fillId="6" borderId="2" xfId="5" applyFont="1" applyBorder="1" applyAlignment="1">
      <alignment horizontal="center"/>
    </xf>
    <xf numFmtId="164" fontId="3" fillId="4" borderId="2" xfId="3" applyNumberFormat="1" applyFont="1" applyBorder="1"/>
    <xf numFmtId="164" fontId="3" fillId="5" borderId="2" xfId="4" applyNumberFormat="1" applyFont="1" applyBorder="1"/>
    <xf numFmtId="164" fontId="2" fillId="2" borderId="1" xfId="1" applyNumberFormat="1" applyFont="1"/>
    <xf numFmtId="164" fontId="3" fillId="7" borderId="2" xfId="6" applyNumberFormat="1" applyFont="1" applyBorder="1"/>
    <xf numFmtId="164" fontId="3" fillId="3" borderId="2" xfId="2" applyNumberFormat="1" applyFont="1" applyBorder="1"/>
    <xf numFmtId="0" fontId="3" fillId="8" borderId="2" xfId="7" applyFont="1" applyBorder="1" applyAlignment="1">
      <alignment horizontal="center"/>
    </xf>
    <xf numFmtId="0" fontId="3" fillId="8" borderId="2" xfId="7" applyFont="1" applyBorder="1"/>
    <xf numFmtId="0" fontId="3" fillId="4" borderId="3" xfId="3" applyFont="1" applyBorder="1"/>
    <xf numFmtId="0" fontId="3" fillId="5" borderId="3" xfId="4" applyFont="1" applyBorder="1"/>
    <xf numFmtId="0" fontId="3" fillId="7" borderId="3" xfId="6" applyFont="1" applyBorder="1"/>
    <xf numFmtId="0" fontId="3" fillId="3" borderId="3" xfId="2" applyFont="1" applyBorder="1"/>
    <xf numFmtId="164" fontId="3" fillId="4" borderId="3" xfId="3" applyNumberFormat="1" applyFont="1" applyBorder="1"/>
    <xf numFmtId="164" fontId="3" fillId="5" borderId="3" xfId="4" applyNumberFormat="1" applyFont="1" applyBorder="1"/>
    <xf numFmtId="164" fontId="3" fillId="7" borderId="3" xfId="6" applyNumberFormat="1" applyFont="1" applyBorder="1"/>
    <xf numFmtId="164" fontId="3" fillId="3" borderId="3" xfId="2" applyNumberFormat="1" applyFont="1" applyBorder="1"/>
    <xf numFmtId="0" fontId="0" fillId="0" borderId="2" xfId="0" applyBorder="1"/>
    <xf numFmtId="0" fontId="5" fillId="9" borderId="2" xfId="8" applyBorder="1"/>
    <xf numFmtId="164" fontId="5" fillId="9" borderId="2" xfId="8" applyNumberFormat="1" applyBorder="1"/>
    <xf numFmtId="0" fontId="1" fillId="6" borderId="2" xfId="5" applyFont="1" applyBorder="1"/>
    <xf numFmtId="0" fontId="1" fillId="4" borderId="2" xfId="3" applyFont="1" applyBorder="1"/>
    <xf numFmtId="0" fontId="1" fillId="5" borderId="2" xfId="4" applyFont="1" applyBorder="1"/>
    <xf numFmtId="164" fontId="1" fillId="5" borderId="2" xfId="4" applyNumberFormat="1" applyFont="1" applyBorder="1"/>
    <xf numFmtId="164" fontId="7" fillId="9" borderId="2" xfId="8" applyNumberFormat="1" applyFont="1" applyBorder="1"/>
    <xf numFmtId="164" fontId="9" fillId="9" borderId="2" xfId="8" applyNumberFormat="1" applyFont="1" applyBorder="1"/>
    <xf numFmtId="10" fontId="0" fillId="0" borderId="2" xfId="0" applyNumberFormat="1" applyBorder="1"/>
    <xf numFmtId="0" fontId="3" fillId="6" borderId="2" xfId="5" applyFont="1" applyBorder="1" applyAlignment="1">
      <alignment horizontal="center"/>
    </xf>
    <xf numFmtId="0" fontId="4" fillId="2" borderId="9" xfId="1" applyFont="1" applyBorder="1"/>
    <xf numFmtId="164" fontId="4" fillId="2" borderId="9" xfId="1" applyNumberFormat="1" applyFont="1" applyBorder="1"/>
    <xf numFmtId="0" fontId="2" fillId="2" borderId="2" xfId="1" applyFont="1" applyBorder="1"/>
    <xf numFmtId="164" fontId="2" fillId="2" borderId="2" xfId="1" applyNumberFormat="1" applyFont="1" applyBorder="1"/>
    <xf numFmtId="0" fontId="3" fillId="6" borderId="3" xfId="5" applyFont="1" applyBorder="1" applyAlignment="1">
      <alignment horizontal="left" vertical="top"/>
    </xf>
    <xf numFmtId="0" fontId="1" fillId="6" borderId="3" xfId="5" applyFont="1" applyBorder="1"/>
    <xf numFmtId="0" fontId="1" fillId="5" borderId="3" xfId="4" applyFont="1" applyBorder="1"/>
    <xf numFmtId="0" fontId="1" fillId="4" borderId="3" xfId="3" applyFont="1" applyBorder="1"/>
    <xf numFmtId="164" fontId="1" fillId="4" borderId="3" xfId="3" applyNumberFormat="1" applyFont="1" applyBorder="1"/>
    <xf numFmtId="165" fontId="1" fillId="4" borderId="3" xfId="3" applyNumberFormat="1" applyFont="1" applyBorder="1"/>
    <xf numFmtId="164" fontId="1" fillId="5" borderId="3" xfId="4" applyNumberFormat="1" applyFont="1" applyBorder="1"/>
    <xf numFmtId="165" fontId="1" fillId="5" borderId="3" xfId="4" applyNumberFormat="1" applyFont="1" applyBorder="1"/>
    <xf numFmtId="0" fontId="4" fillId="2" borderId="2" xfId="1" applyFont="1" applyBorder="1"/>
    <xf numFmtId="164" fontId="4" fillId="2" borderId="2" xfId="1" applyNumberFormat="1" applyFont="1" applyBorder="1"/>
    <xf numFmtId="165" fontId="4" fillId="2" borderId="2" xfId="1" applyNumberFormat="1" applyFont="1" applyBorder="1"/>
    <xf numFmtId="0" fontId="1" fillId="7" borderId="3" xfId="6" applyFont="1" applyBorder="1"/>
    <xf numFmtId="164" fontId="1" fillId="7" borderId="3" xfId="6" applyNumberFormat="1" applyFont="1" applyBorder="1"/>
    <xf numFmtId="165" fontId="1" fillId="7" borderId="3" xfId="6" applyNumberFormat="1" applyFont="1" applyBorder="1"/>
    <xf numFmtId="0" fontId="1" fillId="3" borderId="3" xfId="2" applyFont="1" applyBorder="1"/>
    <xf numFmtId="164" fontId="1" fillId="3" borderId="3" xfId="2" applyNumberFormat="1" applyFont="1" applyBorder="1"/>
    <xf numFmtId="165" fontId="1" fillId="3" borderId="3" xfId="2" applyNumberFormat="1" applyFont="1" applyBorder="1"/>
    <xf numFmtId="0" fontId="6" fillId="10" borderId="0" xfId="9"/>
    <xf numFmtId="10" fontId="6" fillId="10" borderId="0" xfId="9" applyNumberFormat="1"/>
    <xf numFmtId="0" fontId="5" fillId="9" borderId="0" xfId="8"/>
    <xf numFmtId="10" fontId="5" fillId="9" borderId="0" xfId="8" applyNumberFormat="1"/>
    <xf numFmtId="10" fontId="5" fillId="9" borderId="2" xfId="8" applyNumberFormat="1" applyBorder="1"/>
    <xf numFmtId="10" fontId="7" fillId="9" borderId="0" xfId="8" applyNumberFormat="1" applyFont="1"/>
    <xf numFmtId="0" fontId="5" fillId="9" borderId="10" xfId="8" applyBorder="1"/>
    <xf numFmtId="0" fontId="6" fillId="10" borderId="10" xfId="9" applyBorder="1"/>
    <xf numFmtId="0" fontId="5" fillId="9" borderId="6" xfId="8" applyBorder="1"/>
    <xf numFmtId="10" fontId="5" fillId="9" borderId="12" xfId="8" applyNumberFormat="1" applyBorder="1"/>
    <xf numFmtId="10" fontId="6" fillId="10" borderId="12" xfId="9" applyNumberFormat="1" applyBorder="1"/>
    <xf numFmtId="0" fontId="5" fillId="9" borderId="13" xfId="8" applyBorder="1"/>
    <xf numFmtId="0" fontId="6" fillId="10" borderId="14" xfId="9" applyBorder="1"/>
    <xf numFmtId="10" fontId="8" fillId="10" borderId="0" xfId="9" applyNumberFormat="1" applyFont="1"/>
    <xf numFmtId="10" fontId="9" fillId="9" borderId="12" xfId="8" applyNumberFormat="1" applyFont="1" applyBorder="1"/>
    <xf numFmtId="10" fontId="9" fillId="9" borderId="0" xfId="8" applyNumberFormat="1" applyFont="1"/>
    <xf numFmtId="10" fontId="10" fillId="10" borderId="0" xfId="9" applyNumberFormat="1" applyFont="1"/>
    <xf numFmtId="10" fontId="11" fillId="10" borderId="12" xfId="9" applyNumberFormat="1" applyFont="1" applyBorder="1"/>
    <xf numFmtId="0" fontId="5" fillId="9" borderId="3" xfId="8" applyBorder="1"/>
    <xf numFmtId="0" fontId="5" fillId="9" borderId="4" xfId="8" applyBorder="1"/>
    <xf numFmtId="0" fontId="6" fillId="10" borderId="3" xfId="9" applyBorder="1"/>
    <xf numFmtId="0" fontId="6" fillId="10" borderId="4" xfId="9" applyBorder="1"/>
    <xf numFmtId="0" fontId="6" fillId="10" borderId="5" xfId="9" applyBorder="1"/>
    <xf numFmtId="10" fontId="6" fillId="10" borderId="0" xfId="9" applyNumberFormat="1" applyBorder="1"/>
    <xf numFmtId="10" fontId="8" fillId="10" borderId="0" xfId="9" applyNumberFormat="1" applyFont="1" applyBorder="1"/>
    <xf numFmtId="10" fontId="10" fillId="10" borderId="0" xfId="9" applyNumberFormat="1" applyFont="1" applyBorder="1"/>
    <xf numFmtId="0" fontId="6" fillId="10" borderId="11" xfId="9" applyBorder="1"/>
    <xf numFmtId="0" fontId="6" fillId="10" borderId="12" xfId="9" applyBorder="1"/>
    <xf numFmtId="0" fontId="7" fillId="9" borderId="2" xfId="8" applyFont="1" applyBorder="1"/>
    <xf numFmtId="0" fontId="8" fillId="10" borderId="2" xfId="9" applyFont="1" applyBorder="1"/>
    <xf numFmtId="164" fontId="1" fillId="4" borderId="2" xfId="3" applyNumberFormat="1" applyFont="1" applyBorder="1"/>
    <xf numFmtId="0" fontId="1" fillId="7" borderId="2" xfId="6" applyFont="1" applyBorder="1"/>
    <xf numFmtId="0" fontId="1" fillId="3" borderId="2" xfId="2" applyFont="1" applyBorder="1"/>
    <xf numFmtId="164" fontId="1" fillId="3" borderId="2" xfId="2" applyNumberFormat="1" applyFont="1" applyBorder="1"/>
    <xf numFmtId="164" fontId="0" fillId="5" borderId="3" xfId="4" applyNumberFormat="1" applyFont="1" applyBorder="1"/>
    <xf numFmtId="2" fontId="7" fillId="9" borderId="2" xfId="8" applyNumberFormat="1" applyFont="1" applyBorder="1"/>
    <xf numFmtId="10" fontId="6" fillId="10" borderId="2" xfId="9" applyNumberFormat="1" applyBorder="1"/>
    <xf numFmtId="10" fontId="10" fillId="10" borderId="12" xfId="9" applyNumberFormat="1" applyFont="1" applyBorder="1"/>
    <xf numFmtId="164" fontId="5" fillId="9" borderId="2" xfId="8" applyNumberFormat="1" applyFont="1" applyBorder="1"/>
    <xf numFmtId="164" fontId="8" fillId="10" borderId="2" xfId="9" applyNumberFormat="1" applyFont="1" applyBorder="1"/>
    <xf numFmtId="164" fontId="6" fillId="10" borderId="2" xfId="9" applyNumberFormat="1" applyBorder="1"/>
    <xf numFmtId="164" fontId="10" fillId="10" borderId="2" xfId="9" applyNumberFormat="1" applyFont="1" applyBorder="1"/>
    <xf numFmtId="164" fontId="6" fillId="10" borderId="2" xfId="9" applyNumberFormat="1" applyFont="1" applyBorder="1"/>
    <xf numFmtId="0" fontId="1" fillId="3" borderId="2" xfId="2" applyNumberFormat="1" applyBorder="1"/>
    <xf numFmtId="164" fontId="3" fillId="8" borderId="2" xfId="7" applyNumberFormat="1" applyFont="1" applyBorder="1"/>
    <xf numFmtId="166" fontId="3" fillId="4" borderId="2" xfId="3" applyNumberFormat="1" applyFont="1" applyBorder="1"/>
    <xf numFmtId="10" fontId="7" fillId="9" borderId="2" xfId="8" applyNumberFormat="1" applyFont="1" applyBorder="1"/>
    <xf numFmtId="10" fontId="6" fillId="10" borderId="11" xfId="9" applyNumberFormat="1" applyBorder="1"/>
    <xf numFmtId="10" fontId="8" fillId="10" borderId="11" xfId="9" applyNumberFormat="1" applyFont="1" applyBorder="1"/>
    <xf numFmtId="10" fontId="10" fillId="10" borderId="11" xfId="9" applyNumberFormat="1" applyFont="1" applyBorder="1"/>
    <xf numFmtId="10" fontId="9" fillId="9" borderId="2" xfId="8" applyNumberFormat="1" applyFont="1" applyBorder="1"/>
    <xf numFmtId="10" fontId="6" fillId="10" borderId="11" xfId="9" applyNumberFormat="1" applyFont="1" applyBorder="1"/>
    <xf numFmtId="10" fontId="6" fillId="10" borderId="2" xfId="9" applyNumberFormat="1" applyFont="1" applyBorder="1"/>
    <xf numFmtId="10" fontId="3" fillId="0" borderId="2" xfId="0" applyNumberFormat="1" applyFont="1" applyBorder="1"/>
    <xf numFmtId="10" fontId="12" fillId="0" borderId="2" xfId="0" applyNumberFormat="1" applyFont="1" applyBorder="1"/>
    <xf numFmtId="0" fontId="3" fillId="6" borderId="3" xfId="5" applyFont="1" applyBorder="1" applyAlignment="1">
      <alignment horizontal="center" vertical="center"/>
    </xf>
    <xf numFmtId="0" fontId="3" fillId="6" borderId="4" xfId="5" applyFont="1" applyBorder="1" applyAlignment="1">
      <alignment horizontal="center" vertical="center"/>
    </xf>
    <xf numFmtId="0" fontId="3" fillId="6" borderId="5" xfId="5" applyFont="1" applyBorder="1" applyAlignment="1">
      <alignment horizontal="center" vertical="center"/>
    </xf>
    <xf numFmtId="0" fontId="3" fillId="7" borderId="6" xfId="6" applyFont="1" applyBorder="1" applyAlignment="1">
      <alignment horizontal="center"/>
    </xf>
    <xf numFmtId="0" fontId="3" fillId="7" borderId="7" xfId="6" applyFont="1" applyBorder="1" applyAlignment="1">
      <alignment horizontal="center"/>
    </xf>
    <xf numFmtId="0" fontId="3" fillId="7" borderId="8" xfId="6" applyFont="1" applyBorder="1" applyAlignment="1">
      <alignment horizontal="center"/>
    </xf>
    <xf numFmtId="0" fontId="3" fillId="3" borderId="2" xfId="2" applyFont="1" applyBorder="1" applyAlignment="1">
      <alignment horizontal="center"/>
    </xf>
    <xf numFmtId="0" fontId="3" fillId="6" borderId="2" xfId="5" applyFont="1" applyBorder="1" applyAlignment="1">
      <alignment horizontal="center"/>
    </xf>
    <xf numFmtId="0" fontId="3" fillId="4" borderId="2" xfId="3" applyFont="1" applyBorder="1" applyAlignment="1">
      <alignment horizontal="center"/>
    </xf>
    <xf numFmtId="0" fontId="3" fillId="5" borderId="2" xfId="4" applyFont="1" applyBorder="1" applyAlignment="1">
      <alignment horizontal="center"/>
    </xf>
    <xf numFmtId="0" fontId="2" fillId="2" borderId="1" xfId="1" applyFont="1" applyAlignment="1">
      <alignment horizontal="center"/>
    </xf>
    <xf numFmtId="0" fontId="3" fillId="7" borderId="2" xfId="6" applyFont="1" applyBorder="1" applyAlignment="1">
      <alignment horizontal="center"/>
    </xf>
    <xf numFmtId="0" fontId="7" fillId="9" borderId="2" xfId="8" applyFont="1" applyBorder="1" applyAlignment="1">
      <alignment horizontal="center"/>
    </xf>
    <xf numFmtId="0" fontId="8" fillId="10" borderId="2" xfId="9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0">
    <cellStyle name="20% - Accent1" xfId="2" builtinId="30"/>
    <cellStyle name="40% - Accent1" xfId="3" builtinId="31"/>
    <cellStyle name="40% - Accent2" xfId="4" builtinId="35"/>
    <cellStyle name="40% - Accent4" xfId="7" builtinId="43"/>
    <cellStyle name="40% - Accent5" xfId="5" builtinId="47"/>
    <cellStyle name="40% - Accent6" xfId="6" builtinId="51"/>
    <cellStyle name="Good" xfId="8" builtinId="26"/>
    <cellStyle name="Neutral" xfId="9" builtinId="28"/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251460</xdr:colOff>
      <xdr:row>13</xdr:row>
      <xdr:rowOff>175260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726680" y="23698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251460</xdr:colOff>
      <xdr:row>12</xdr:row>
      <xdr:rowOff>175260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223760" y="23698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"/>
  <sheetViews>
    <sheetView zoomScale="85" zoomScaleNormal="85" workbookViewId="0">
      <pane xSplit="2" ySplit="2" topLeftCell="C57" activePane="bottomRight" state="frozen"/>
      <selection pane="topRight" activeCell="C1" sqref="C1"/>
      <selection pane="bottomLeft" activeCell="A3" sqref="A3"/>
      <selection pane="bottomRight" activeCell="N9" sqref="N9"/>
    </sheetView>
  </sheetViews>
  <sheetFormatPr defaultRowHeight="14.4" x14ac:dyDescent="0.3"/>
  <cols>
    <col min="1" max="2" width="16.33203125" customWidth="1"/>
    <col min="3" max="3" width="22.6640625" customWidth="1"/>
    <col min="4" max="4" width="15.6640625" customWidth="1"/>
    <col min="5" max="5" width="6.5546875" customWidth="1"/>
    <col min="6" max="6" width="6.109375" bestFit="1" customWidth="1"/>
    <col min="7" max="7" width="13.88671875" bestFit="1" customWidth="1"/>
    <col min="8" max="8" width="13" bestFit="1" customWidth="1"/>
    <col min="9" max="9" width="10.33203125" bestFit="1" customWidth="1"/>
    <col min="10" max="10" width="9.5546875" bestFit="1" customWidth="1"/>
    <col min="11" max="11" width="12.44140625" bestFit="1" customWidth="1"/>
    <col min="12" max="12" width="6.109375" bestFit="1" customWidth="1"/>
    <col min="13" max="13" width="13.88671875" bestFit="1" customWidth="1"/>
    <col min="14" max="14" width="12.44140625" bestFit="1" customWidth="1"/>
    <col min="15" max="15" width="6.109375" bestFit="1" customWidth="1"/>
    <col min="16" max="16" width="13.88671875" bestFit="1" customWidth="1"/>
    <col min="17" max="17" width="6.6640625" bestFit="1" customWidth="1"/>
    <col min="18" max="18" width="6.109375" bestFit="1" customWidth="1"/>
    <col min="19" max="19" width="13.88671875" bestFit="1" customWidth="1"/>
    <col min="20" max="20" width="5.5546875" customWidth="1"/>
    <col min="21" max="21" width="6.109375" bestFit="1" customWidth="1"/>
    <col min="22" max="22" width="13.88671875" bestFit="1" customWidth="1"/>
    <col min="23" max="23" width="6.6640625" bestFit="1" customWidth="1"/>
    <col min="24" max="24" width="6.109375" bestFit="1" customWidth="1"/>
  </cols>
  <sheetData>
    <row r="1" spans="1:24" x14ac:dyDescent="0.3">
      <c r="A1" s="135" t="s">
        <v>58</v>
      </c>
      <c r="B1" s="135" t="s">
        <v>59</v>
      </c>
      <c r="C1" s="135" t="s">
        <v>60</v>
      </c>
      <c r="D1" s="136" t="s">
        <v>61</v>
      </c>
      <c r="E1" s="136"/>
      <c r="F1" s="136"/>
      <c r="G1" s="137" t="s">
        <v>62</v>
      </c>
      <c r="H1" s="137"/>
      <c r="I1" s="137"/>
      <c r="J1" s="137"/>
      <c r="K1" s="137"/>
      <c r="L1" s="137"/>
      <c r="M1" s="138" t="s">
        <v>0</v>
      </c>
      <c r="N1" s="138"/>
      <c r="O1" s="138"/>
      <c r="P1" s="136" t="s">
        <v>1</v>
      </c>
      <c r="Q1" s="136"/>
      <c r="R1" s="136"/>
      <c r="S1" s="131" t="s">
        <v>2</v>
      </c>
      <c r="T1" s="132"/>
      <c r="U1" s="133"/>
      <c r="V1" s="134" t="s">
        <v>3</v>
      </c>
      <c r="W1" s="134"/>
      <c r="X1" s="134"/>
    </row>
    <row r="2" spans="1:24" x14ac:dyDescent="0.3">
      <c r="A2" s="135"/>
      <c r="B2" s="135"/>
      <c r="C2" s="135"/>
      <c r="D2" s="6" t="s">
        <v>63</v>
      </c>
      <c r="E2" s="6" t="s">
        <v>64</v>
      </c>
      <c r="F2" s="6" t="s">
        <v>65</v>
      </c>
      <c r="G2" s="7" t="s">
        <v>63</v>
      </c>
      <c r="H2" s="7" t="s">
        <v>146</v>
      </c>
      <c r="I2" s="7" t="s">
        <v>147</v>
      </c>
      <c r="J2" s="7" t="s">
        <v>66</v>
      </c>
      <c r="K2" s="7" t="s">
        <v>64</v>
      </c>
      <c r="L2" s="7" t="s">
        <v>65</v>
      </c>
      <c r="M2" s="8" t="s">
        <v>63</v>
      </c>
      <c r="N2" s="8" t="s">
        <v>64</v>
      </c>
      <c r="O2" s="8" t="s">
        <v>65</v>
      </c>
      <c r="P2" s="6" t="s">
        <v>63</v>
      </c>
      <c r="Q2" s="6" t="s">
        <v>64</v>
      </c>
      <c r="R2" s="6" t="s">
        <v>65</v>
      </c>
      <c r="S2" s="9" t="s">
        <v>63</v>
      </c>
      <c r="T2" s="9" t="s">
        <v>64</v>
      </c>
      <c r="U2" s="9" t="s">
        <v>65</v>
      </c>
      <c r="V2" s="10" t="s">
        <v>63</v>
      </c>
      <c r="W2" s="10" t="s">
        <v>64</v>
      </c>
      <c r="X2" s="10" t="s">
        <v>65</v>
      </c>
    </row>
    <row r="3" spans="1:24" x14ac:dyDescent="0.3">
      <c r="A3" s="128" t="s">
        <v>67</v>
      </c>
      <c r="B3" s="12" t="s">
        <v>4</v>
      </c>
      <c r="C3" s="3">
        <v>24.5</v>
      </c>
      <c r="D3" s="1">
        <v>32</v>
      </c>
      <c r="E3" s="16">
        <f t="shared" ref="E3:E47" si="0">ABS(C3-D3)/C3</f>
        <v>0.30612244897959184</v>
      </c>
      <c r="F3" s="1" t="b">
        <f t="shared" ref="F3:F9" si="1">IF(E3&lt;=0.25,TRUE,FALSE)</f>
        <v>0</v>
      </c>
      <c r="G3" s="2">
        <v>40</v>
      </c>
      <c r="H3" s="17">
        <v>0.185556</v>
      </c>
      <c r="I3" s="17">
        <f t="shared" ref="I3:I9" si="2">H3*5</f>
        <v>0.92778000000000005</v>
      </c>
      <c r="J3" s="2">
        <v>3</v>
      </c>
      <c r="K3" s="17">
        <f t="shared" ref="K3:K47" si="3">ABS(C3-G3)/C3</f>
        <v>0.63265306122448983</v>
      </c>
      <c r="L3" s="2" t="b">
        <f t="shared" ref="L3:L9" si="4">IF(K3&lt;=0.25,TRUE,FALSE)</f>
        <v>0</v>
      </c>
      <c r="M3" s="11">
        <v>52</v>
      </c>
      <c r="N3" s="18">
        <f t="shared" ref="N3:N47" si="5">ABS(C3-M3)/C3</f>
        <v>1.1224489795918366</v>
      </c>
      <c r="O3" s="11" t="b">
        <f>IF(N3&lt;=0.25,TRUE,FALSE)</f>
        <v>0</v>
      </c>
      <c r="P3" s="1">
        <v>95</v>
      </c>
      <c r="Q3" s="16">
        <f t="shared" ref="Q3:Q47" si="6">ABS(C3-P3)/C3</f>
        <v>2.8775510204081631</v>
      </c>
      <c r="R3" s="1" t="b">
        <f>IF(Q3&lt;=0.25,TRUE,FALSE)</f>
        <v>0</v>
      </c>
      <c r="S3" s="4">
        <v>118</v>
      </c>
      <c r="T3" s="19">
        <f t="shared" ref="T3:T47" si="7">ABS(C3-S3)/C3</f>
        <v>3.8163265306122449</v>
      </c>
      <c r="U3" s="4" t="b">
        <f>IF(T3&lt;=0.25,TRUE,FALSE)</f>
        <v>0</v>
      </c>
      <c r="V3" s="5">
        <v>74</v>
      </c>
      <c r="W3" s="20">
        <f t="shared" ref="W3:W47" si="8">ABS(C3-V3)/C3</f>
        <v>2.0204081632653059</v>
      </c>
      <c r="X3" s="5" t="b">
        <f>IF(W3&lt;=0.25,TRUE,FALSE)</f>
        <v>0</v>
      </c>
    </row>
    <row r="4" spans="1:24" x14ac:dyDescent="0.3">
      <c r="A4" s="129"/>
      <c r="B4" s="12" t="s">
        <v>5</v>
      </c>
      <c r="C4" s="3">
        <v>37</v>
      </c>
      <c r="D4" s="1">
        <v>30</v>
      </c>
      <c r="E4" s="16">
        <f t="shared" si="0"/>
        <v>0.1891891891891892</v>
      </c>
      <c r="F4" s="1" t="b">
        <f t="shared" si="1"/>
        <v>1</v>
      </c>
      <c r="G4" s="2">
        <v>64</v>
      </c>
      <c r="H4" s="17">
        <v>0.17361099999999999</v>
      </c>
      <c r="I4" s="17">
        <f t="shared" si="2"/>
        <v>0.86805499999999991</v>
      </c>
      <c r="J4" s="2">
        <v>3</v>
      </c>
      <c r="K4" s="17">
        <f t="shared" si="3"/>
        <v>0.72972972972972971</v>
      </c>
      <c r="L4" s="2" t="b">
        <f t="shared" si="4"/>
        <v>0</v>
      </c>
      <c r="M4" s="11">
        <v>86</v>
      </c>
      <c r="N4" s="18">
        <f t="shared" si="5"/>
        <v>1.3243243243243243</v>
      </c>
      <c r="O4" s="11" t="b">
        <f t="shared" ref="O4:O28" si="9">IF(N4&lt;=0.25,TRUE,FALSE)</f>
        <v>0</v>
      </c>
      <c r="P4" s="1">
        <v>106</v>
      </c>
      <c r="Q4" s="16">
        <f t="shared" si="6"/>
        <v>1.8648648648648649</v>
      </c>
      <c r="R4" s="1" t="b">
        <f t="shared" ref="R4:R28" si="10">IF(Q4&lt;=0.25,TRUE,FALSE)</f>
        <v>0</v>
      </c>
      <c r="S4" s="4">
        <v>174</v>
      </c>
      <c r="T4" s="19">
        <f t="shared" si="7"/>
        <v>3.7027027027027026</v>
      </c>
      <c r="U4" s="4" t="b">
        <f t="shared" ref="U4:U28" si="11">IF(T4&lt;=0.25,TRUE,FALSE)</f>
        <v>0</v>
      </c>
      <c r="V4" s="5">
        <v>105</v>
      </c>
      <c r="W4" s="20">
        <f t="shared" si="8"/>
        <v>1.8378378378378379</v>
      </c>
      <c r="X4" s="5" t="b">
        <f t="shared" ref="X4:X28" si="12">IF(W4&lt;=0.25,TRUE,FALSE)</f>
        <v>0</v>
      </c>
    </row>
    <row r="5" spans="1:24" x14ac:dyDescent="0.3">
      <c r="A5" s="129"/>
      <c r="B5" s="12" t="s">
        <v>6</v>
      </c>
      <c r="C5" s="3">
        <v>32</v>
      </c>
      <c r="D5" s="1">
        <v>32</v>
      </c>
      <c r="E5" s="16">
        <f t="shared" si="0"/>
        <v>0</v>
      </c>
      <c r="F5" s="1" t="b">
        <f t="shared" si="1"/>
        <v>1</v>
      </c>
      <c r="G5" s="2">
        <v>40</v>
      </c>
      <c r="H5" s="17">
        <v>0.35249999999999998</v>
      </c>
      <c r="I5" s="17">
        <f t="shared" si="2"/>
        <v>1.7625</v>
      </c>
      <c r="J5" s="2">
        <v>2</v>
      </c>
      <c r="K5" s="17">
        <f t="shared" si="3"/>
        <v>0.25</v>
      </c>
      <c r="L5" s="2" t="b">
        <f t="shared" si="4"/>
        <v>1</v>
      </c>
      <c r="M5" s="11">
        <v>57</v>
      </c>
      <c r="N5" s="18">
        <f t="shared" si="5"/>
        <v>0.78125</v>
      </c>
      <c r="O5" s="11" t="b">
        <f t="shared" si="9"/>
        <v>0</v>
      </c>
      <c r="P5" s="1">
        <v>56</v>
      </c>
      <c r="Q5" s="16">
        <f t="shared" si="6"/>
        <v>0.75</v>
      </c>
      <c r="R5" s="1" t="b">
        <f t="shared" si="10"/>
        <v>0</v>
      </c>
      <c r="S5" s="4">
        <v>168</v>
      </c>
      <c r="T5" s="19">
        <f t="shared" si="7"/>
        <v>4.25</v>
      </c>
      <c r="U5" s="4" t="b">
        <f t="shared" si="11"/>
        <v>0</v>
      </c>
      <c r="V5" s="5">
        <v>100</v>
      </c>
      <c r="W5" s="20">
        <f t="shared" si="8"/>
        <v>2.125</v>
      </c>
      <c r="X5" s="5" t="b">
        <f t="shared" si="12"/>
        <v>0</v>
      </c>
    </row>
    <row r="6" spans="1:24" x14ac:dyDescent="0.3">
      <c r="A6" s="129"/>
      <c r="B6" s="12" t="s">
        <v>7</v>
      </c>
      <c r="C6" s="3">
        <v>25</v>
      </c>
      <c r="D6" s="1">
        <v>24</v>
      </c>
      <c r="E6" s="16">
        <f t="shared" si="0"/>
        <v>0.04</v>
      </c>
      <c r="F6" s="1" t="b">
        <f t="shared" si="1"/>
        <v>1</v>
      </c>
      <c r="G6" s="2">
        <v>24</v>
      </c>
      <c r="H6" s="17">
        <v>0.121389</v>
      </c>
      <c r="I6" s="17">
        <f t="shared" si="2"/>
        <v>0.60694499999999996</v>
      </c>
      <c r="J6" s="2">
        <v>3</v>
      </c>
      <c r="K6" s="17">
        <f t="shared" si="3"/>
        <v>0.04</v>
      </c>
      <c r="L6" s="2" t="b">
        <f t="shared" si="4"/>
        <v>1</v>
      </c>
      <c r="M6" s="11">
        <v>92</v>
      </c>
      <c r="N6" s="18">
        <f t="shared" si="5"/>
        <v>2.68</v>
      </c>
      <c r="O6" s="11" t="b">
        <f t="shared" si="9"/>
        <v>0</v>
      </c>
      <c r="P6" s="1">
        <v>296</v>
      </c>
      <c r="Q6" s="16">
        <f t="shared" si="6"/>
        <v>10.84</v>
      </c>
      <c r="R6" s="1" t="b">
        <f t="shared" si="10"/>
        <v>0</v>
      </c>
      <c r="S6" s="4">
        <v>146</v>
      </c>
      <c r="T6" s="19">
        <f t="shared" si="7"/>
        <v>4.84</v>
      </c>
      <c r="U6" s="4" t="b">
        <f t="shared" si="11"/>
        <v>0</v>
      </c>
      <c r="V6" s="5">
        <v>270</v>
      </c>
      <c r="W6" s="20">
        <f t="shared" si="8"/>
        <v>9.8000000000000007</v>
      </c>
      <c r="X6" s="5" t="b">
        <f t="shared" si="12"/>
        <v>0</v>
      </c>
    </row>
    <row r="7" spans="1:24" x14ac:dyDescent="0.3">
      <c r="A7" s="129"/>
      <c r="B7" s="12" t="s">
        <v>8</v>
      </c>
      <c r="C7" s="3">
        <v>25</v>
      </c>
      <c r="D7" s="1">
        <v>36</v>
      </c>
      <c r="E7" s="16">
        <f t="shared" si="0"/>
        <v>0.44</v>
      </c>
      <c r="F7" s="1" t="b">
        <f t="shared" si="1"/>
        <v>0</v>
      </c>
      <c r="G7" s="2">
        <v>40</v>
      </c>
      <c r="H7" s="17">
        <v>0.31722222</v>
      </c>
      <c r="I7" s="17">
        <f t="shared" si="2"/>
        <v>1.5861111000000001</v>
      </c>
      <c r="J7" s="2">
        <v>2</v>
      </c>
      <c r="K7" s="17">
        <f t="shared" si="3"/>
        <v>0.6</v>
      </c>
      <c r="L7" s="2" t="b">
        <f t="shared" si="4"/>
        <v>0</v>
      </c>
      <c r="M7" s="11">
        <v>128</v>
      </c>
      <c r="N7" s="18">
        <f t="shared" si="5"/>
        <v>4.12</v>
      </c>
      <c r="O7" s="11" t="b">
        <f t="shared" si="9"/>
        <v>0</v>
      </c>
      <c r="P7" s="1">
        <v>212</v>
      </c>
      <c r="Q7" s="16">
        <f t="shared" si="6"/>
        <v>7.48</v>
      </c>
      <c r="R7" s="1" t="b">
        <f t="shared" si="10"/>
        <v>0</v>
      </c>
      <c r="S7" s="4">
        <v>140</v>
      </c>
      <c r="T7" s="19">
        <f t="shared" si="7"/>
        <v>4.5999999999999996</v>
      </c>
      <c r="U7" s="4" t="b">
        <f t="shared" si="11"/>
        <v>0</v>
      </c>
      <c r="V7" s="5">
        <v>406</v>
      </c>
      <c r="W7" s="20">
        <f t="shared" si="8"/>
        <v>15.24</v>
      </c>
      <c r="X7" s="5" t="b">
        <f t="shared" si="12"/>
        <v>0</v>
      </c>
    </row>
    <row r="8" spans="1:24" x14ac:dyDescent="0.3">
      <c r="A8" s="129"/>
      <c r="B8" s="12" t="s">
        <v>9</v>
      </c>
      <c r="C8" s="3">
        <v>14</v>
      </c>
      <c r="D8" s="1">
        <v>16</v>
      </c>
      <c r="E8" s="16">
        <f t="shared" si="0"/>
        <v>0.14285714285714285</v>
      </c>
      <c r="F8" s="1" t="b">
        <f t="shared" si="1"/>
        <v>1</v>
      </c>
      <c r="G8" s="2">
        <v>16</v>
      </c>
      <c r="H8" s="17">
        <v>0.10111100000000001</v>
      </c>
      <c r="I8" s="17">
        <f t="shared" si="2"/>
        <v>0.50555499999999998</v>
      </c>
      <c r="J8" s="2">
        <v>2</v>
      </c>
      <c r="K8" s="17">
        <f t="shared" si="3"/>
        <v>0.14285714285714285</v>
      </c>
      <c r="L8" s="2" t="b">
        <f t="shared" si="4"/>
        <v>1</v>
      </c>
      <c r="M8" s="11">
        <v>91</v>
      </c>
      <c r="N8" s="18">
        <f t="shared" si="5"/>
        <v>5.5</v>
      </c>
      <c r="O8" s="11" t="b">
        <f t="shared" si="9"/>
        <v>0</v>
      </c>
      <c r="P8" s="1">
        <v>224</v>
      </c>
      <c r="Q8" s="16">
        <f t="shared" si="6"/>
        <v>15</v>
      </c>
      <c r="R8" s="1" t="b">
        <f t="shared" si="10"/>
        <v>0</v>
      </c>
      <c r="S8" s="4">
        <v>94</v>
      </c>
      <c r="T8" s="19">
        <f t="shared" si="7"/>
        <v>5.7142857142857144</v>
      </c>
      <c r="U8" s="4" t="b">
        <f t="shared" si="11"/>
        <v>0</v>
      </c>
      <c r="V8" s="5">
        <v>440</v>
      </c>
      <c r="W8" s="20">
        <f t="shared" si="8"/>
        <v>30.428571428571427</v>
      </c>
      <c r="X8" s="5" t="b">
        <f t="shared" si="12"/>
        <v>0</v>
      </c>
    </row>
    <row r="9" spans="1:24" x14ac:dyDescent="0.3">
      <c r="A9" s="129"/>
      <c r="B9" s="12" t="s">
        <v>10</v>
      </c>
      <c r="C9" s="3">
        <v>9.25</v>
      </c>
      <c r="D9" s="1">
        <v>7</v>
      </c>
      <c r="E9" s="16">
        <f t="shared" si="0"/>
        <v>0.24324324324324326</v>
      </c>
      <c r="F9" s="1" t="b">
        <f t="shared" si="1"/>
        <v>1</v>
      </c>
      <c r="G9" s="2">
        <v>8</v>
      </c>
      <c r="H9" s="17">
        <v>0.158611</v>
      </c>
      <c r="I9" s="17">
        <f t="shared" si="2"/>
        <v>0.79305500000000007</v>
      </c>
      <c r="J9" s="2">
        <v>2</v>
      </c>
      <c r="K9" s="17">
        <f t="shared" si="3"/>
        <v>0.13513513513513514</v>
      </c>
      <c r="L9" s="2" t="b">
        <f t="shared" si="4"/>
        <v>1</v>
      </c>
      <c r="M9" s="11">
        <v>70</v>
      </c>
      <c r="N9" s="18">
        <f t="shared" si="5"/>
        <v>6.5675675675675675</v>
      </c>
      <c r="O9" s="11" t="b">
        <f t="shared" si="9"/>
        <v>0</v>
      </c>
      <c r="P9" s="1">
        <v>64</v>
      </c>
      <c r="Q9" s="16">
        <f t="shared" si="6"/>
        <v>5.9189189189189193</v>
      </c>
      <c r="R9" s="1" t="b">
        <f t="shared" si="10"/>
        <v>0</v>
      </c>
      <c r="S9" s="4">
        <v>53</v>
      </c>
      <c r="T9" s="19">
        <f t="shared" si="7"/>
        <v>4.7297297297297298</v>
      </c>
      <c r="U9" s="4" t="b">
        <f t="shared" si="11"/>
        <v>0</v>
      </c>
      <c r="V9" s="5">
        <v>308</v>
      </c>
      <c r="W9" s="20">
        <f t="shared" si="8"/>
        <v>32.297297297297298</v>
      </c>
      <c r="X9" s="5" t="b">
        <f t="shared" si="12"/>
        <v>0</v>
      </c>
    </row>
    <row r="10" spans="1:24" x14ac:dyDescent="0.3">
      <c r="A10" s="25" t="s">
        <v>68</v>
      </c>
      <c r="B10" s="12"/>
      <c r="C10" s="12">
        <f>SUM(C3:C9)</f>
        <v>166.75</v>
      </c>
      <c r="D10" s="6">
        <f>SUM(D3:D9)</f>
        <v>177</v>
      </c>
      <c r="E10" s="26">
        <f>AVERAGE(E3:E9)</f>
        <v>0.19448743203845242</v>
      </c>
      <c r="F10" s="26">
        <f>COUNTIF(F3:F9, TRUE)/ROWS(B3:B9)</f>
        <v>0.7142857142857143</v>
      </c>
      <c r="G10" s="7">
        <f>SUM(G3:G9)</f>
        <v>232</v>
      </c>
      <c r="H10" s="27">
        <f>SUM(H3:H9)</f>
        <v>1.4100002200000001</v>
      </c>
      <c r="I10" s="27">
        <f>SUM(I3:I9)</f>
        <v>7.0500010999999994</v>
      </c>
      <c r="J10" s="7">
        <f>SUM(J3:J9)</f>
        <v>17</v>
      </c>
      <c r="K10" s="27">
        <f>AVERAGE(K3:K9)</f>
        <v>0.36148215270664252</v>
      </c>
      <c r="L10" s="27">
        <f>COUNTIF(L3:L9, TRUE)/ROWS(B3:B9)</f>
        <v>0.5714285714285714</v>
      </c>
      <c r="M10" s="8">
        <f>SUM(M3:M9)</f>
        <v>576</v>
      </c>
      <c r="N10" s="28">
        <f>AVERAGE(N3:N9)</f>
        <v>3.1565129816405326</v>
      </c>
      <c r="O10" s="28">
        <f>COUNTIF(O3:O9, TRUE)/ROWS(B3:B9)</f>
        <v>0</v>
      </c>
      <c r="P10" s="6">
        <f>SUM(P3:P9)</f>
        <v>1053</v>
      </c>
      <c r="Q10" s="26">
        <f>AVERAGE(Q3:Q9)</f>
        <v>6.3901906863131348</v>
      </c>
      <c r="R10" s="26">
        <f>COUNTIF(R3:R9, TRUE)/ROWS(B3:B9)</f>
        <v>0</v>
      </c>
      <c r="S10" s="9">
        <f>SUM(S3:S9)</f>
        <v>893</v>
      </c>
      <c r="T10" s="29">
        <f>AVERAGE(T3:T9)</f>
        <v>4.5218635253329138</v>
      </c>
      <c r="U10" s="29">
        <f>COUNTIF(U3:U9, TRUE)/ROWS(B3:B9)</f>
        <v>0</v>
      </c>
      <c r="V10" s="10">
        <f>SUM(V3:V9)</f>
        <v>1703</v>
      </c>
      <c r="W10" s="30">
        <f>AVERAGE(W3:W9)</f>
        <v>13.392730675281696</v>
      </c>
      <c r="X10" s="30">
        <f>COUNTIF(X3:X9, TRUE)/ROWS(B3:B9)</f>
        <v>0</v>
      </c>
    </row>
    <row r="11" spans="1:24" x14ac:dyDescent="0.3">
      <c r="A11" s="128" t="s">
        <v>69</v>
      </c>
      <c r="B11" s="12" t="s">
        <v>11</v>
      </c>
      <c r="C11" s="3">
        <v>44.5</v>
      </c>
      <c r="D11" s="1">
        <v>50</v>
      </c>
      <c r="E11" s="16">
        <f t="shared" si="0"/>
        <v>0.12359550561797752</v>
      </c>
      <c r="F11" s="1" t="b">
        <f t="shared" ref="F11:F20" si="13">IF(E11&lt;=0.25,TRUE,FALSE)</f>
        <v>1</v>
      </c>
      <c r="G11" s="2">
        <v>64</v>
      </c>
      <c r="H11" s="17">
        <v>0.17777799999999999</v>
      </c>
      <c r="I11" s="17">
        <f t="shared" ref="I11:I20" si="14">H11*5</f>
        <v>0.88888999999999996</v>
      </c>
      <c r="J11" s="2">
        <v>3</v>
      </c>
      <c r="K11" s="17">
        <f t="shared" si="3"/>
        <v>0.43820224719101125</v>
      </c>
      <c r="L11" s="2" t="b">
        <f t="shared" ref="L11:L20" si="15">IF(K11&lt;=0.25,TRUE,FALSE)</f>
        <v>0</v>
      </c>
      <c r="M11" s="11">
        <v>42</v>
      </c>
      <c r="N11" s="18">
        <f t="shared" si="5"/>
        <v>5.6179775280898875E-2</v>
      </c>
      <c r="O11" s="11" t="b">
        <f t="shared" si="9"/>
        <v>1</v>
      </c>
      <c r="P11" s="1">
        <v>42</v>
      </c>
      <c r="Q11" s="16">
        <f t="shared" si="6"/>
        <v>5.6179775280898875E-2</v>
      </c>
      <c r="R11" s="1" t="b">
        <f t="shared" si="10"/>
        <v>1</v>
      </c>
      <c r="S11" s="4">
        <v>55</v>
      </c>
      <c r="T11" s="19">
        <f t="shared" si="7"/>
        <v>0.23595505617977527</v>
      </c>
      <c r="U11" s="4" t="b">
        <f t="shared" si="11"/>
        <v>1</v>
      </c>
      <c r="V11" s="116">
        <v>190</v>
      </c>
      <c r="W11" s="20">
        <f t="shared" si="8"/>
        <v>3.2696629213483148</v>
      </c>
      <c r="X11" s="5" t="b">
        <f t="shared" si="12"/>
        <v>0</v>
      </c>
    </row>
    <row r="12" spans="1:24" x14ac:dyDescent="0.3">
      <c r="A12" s="129"/>
      <c r="B12" s="12" t="s">
        <v>12</v>
      </c>
      <c r="C12" s="3">
        <v>38.5</v>
      </c>
      <c r="D12" s="1">
        <v>32</v>
      </c>
      <c r="E12" s="16">
        <f t="shared" si="0"/>
        <v>0.16883116883116883</v>
      </c>
      <c r="F12" s="1" t="b">
        <f t="shared" si="13"/>
        <v>1</v>
      </c>
      <c r="G12" s="2">
        <v>40</v>
      </c>
      <c r="H12" s="17">
        <v>9.69444E-2</v>
      </c>
      <c r="I12" s="17">
        <f t="shared" si="14"/>
        <v>0.48472199999999999</v>
      </c>
      <c r="J12" s="2">
        <v>2</v>
      </c>
      <c r="K12" s="17">
        <f t="shared" si="3"/>
        <v>3.896103896103896E-2</v>
      </c>
      <c r="L12" s="2" t="b">
        <f t="shared" si="15"/>
        <v>1</v>
      </c>
      <c r="M12" s="11">
        <v>46</v>
      </c>
      <c r="N12" s="18">
        <f t="shared" si="5"/>
        <v>0.19480519480519481</v>
      </c>
      <c r="O12" s="11" t="b">
        <f t="shared" si="9"/>
        <v>1</v>
      </c>
      <c r="P12" s="1">
        <v>45</v>
      </c>
      <c r="Q12" s="16">
        <f t="shared" si="6"/>
        <v>0.16883116883116883</v>
      </c>
      <c r="R12" s="1" t="b">
        <f t="shared" si="10"/>
        <v>1</v>
      </c>
      <c r="S12" s="4">
        <v>53</v>
      </c>
      <c r="T12" s="19">
        <f t="shared" si="7"/>
        <v>0.37662337662337664</v>
      </c>
      <c r="U12" s="4" t="b">
        <f t="shared" si="11"/>
        <v>0</v>
      </c>
      <c r="V12" s="5">
        <v>80</v>
      </c>
      <c r="W12" s="20">
        <f t="shared" si="8"/>
        <v>1.0779220779220779</v>
      </c>
      <c r="X12" s="5" t="b">
        <f t="shared" si="12"/>
        <v>0</v>
      </c>
    </row>
    <row r="13" spans="1:24" x14ac:dyDescent="0.3">
      <c r="A13" s="129"/>
      <c r="B13" s="12" t="s">
        <v>13</v>
      </c>
      <c r="C13" s="3">
        <v>33</v>
      </c>
      <c r="D13" s="1">
        <v>31.5</v>
      </c>
      <c r="E13" s="16">
        <f t="shared" si="0"/>
        <v>4.5454545454545456E-2</v>
      </c>
      <c r="F13" s="1" t="b">
        <f t="shared" si="13"/>
        <v>1</v>
      </c>
      <c r="G13" s="2">
        <v>40</v>
      </c>
      <c r="H13" s="17">
        <v>0.19722200000000001</v>
      </c>
      <c r="I13" s="17">
        <f t="shared" si="14"/>
        <v>0.98611000000000004</v>
      </c>
      <c r="J13" s="2">
        <v>3</v>
      </c>
      <c r="K13" s="17">
        <f t="shared" si="3"/>
        <v>0.21212121212121213</v>
      </c>
      <c r="L13" s="2" t="b">
        <f t="shared" si="15"/>
        <v>1</v>
      </c>
      <c r="M13" s="11">
        <v>80</v>
      </c>
      <c r="N13" s="18">
        <f t="shared" si="5"/>
        <v>1.4242424242424243</v>
      </c>
      <c r="O13" s="11" t="b">
        <f t="shared" si="9"/>
        <v>0</v>
      </c>
      <c r="P13" s="1">
        <v>46</v>
      </c>
      <c r="Q13" s="16">
        <f t="shared" si="6"/>
        <v>0.39393939393939392</v>
      </c>
      <c r="R13" s="1" t="b">
        <f t="shared" si="10"/>
        <v>0</v>
      </c>
      <c r="S13" s="4">
        <v>94</v>
      </c>
      <c r="T13" s="19">
        <f t="shared" si="7"/>
        <v>1.8484848484848484</v>
      </c>
      <c r="U13" s="4" t="b">
        <f t="shared" si="11"/>
        <v>0</v>
      </c>
      <c r="V13" s="5">
        <v>158</v>
      </c>
      <c r="W13" s="20">
        <f t="shared" si="8"/>
        <v>3.7878787878787881</v>
      </c>
      <c r="X13" s="5" t="b">
        <f t="shared" si="12"/>
        <v>0</v>
      </c>
    </row>
    <row r="14" spans="1:24" x14ac:dyDescent="0.3">
      <c r="A14" s="129"/>
      <c r="B14" s="12" t="s">
        <v>14</v>
      </c>
      <c r="C14" s="3">
        <v>54</v>
      </c>
      <c r="D14" s="1">
        <v>57</v>
      </c>
      <c r="E14" s="16">
        <f t="shared" si="0"/>
        <v>5.5555555555555552E-2</v>
      </c>
      <c r="F14" s="1" t="b">
        <f t="shared" si="13"/>
        <v>1</v>
      </c>
      <c r="G14" s="2">
        <v>64</v>
      </c>
      <c r="H14" s="17">
        <v>9.6666699999999994E-2</v>
      </c>
      <c r="I14" s="17">
        <f t="shared" si="14"/>
        <v>0.48333349999999997</v>
      </c>
      <c r="J14" s="2">
        <v>2</v>
      </c>
      <c r="K14" s="17">
        <f t="shared" si="3"/>
        <v>0.18518518518518517</v>
      </c>
      <c r="L14" s="2" t="b">
        <f t="shared" si="15"/>
        <v>1</v>
      </c>
      <c r="M14" s="11">
        <v>50</v>
      </c>
      <c r="N14" s="18">
        <f t="shared" si="5"/>
        <v>7.407407407407407E-2</v>
      </c>
      <c r="O14" s="11" t="b">
        <f t="shared" si="9"/>
        <v>1</v>
      </c>
      <c r="P14" s="1">
        <v>62</v>
      </c>
      <c r="Q14" s="16">
        <f t="shared" si="6"/>
        <v>0.14814814814814814</v>
      </c>
      <c r="R14" s="1" t="b">
        <f t="shared" si="10"/>
        <v>1</v>
      </c>
      <c r="S14" s="4">
        <v>88</v>
      </c>
      <c r="T14" s="19">
        <f t="shared" si="7"/>
        <v>0.62962962962962965</v>
      </c>
      <c r="U14" s="4" t="b">
        <f t="shared" si="11"/>
        <v>0</v>
      </c>
      <c r="V14" s="5">
        <v>72</v>
      </c>
      <c r="W14" s="20">
        <f t="shared" si="8"/>
        <v>0.33333333333333331</v>
      </c>
      <c r="X14" s="5" t="b">
        <f t="shared" si="12"/>
        <v>0</v>
      </c>
    </row>
    <row r="15" spans="1:24" x14ac:dyDescent="0.3">
      <c r="A15" s="129"/>
      <c r="B15" s="12" t="s">
        <v>15</v>
      </c>
      <c r="C15" s="3">
        <v>57.5</v>
      </c>
      <c r="D15" s="1">
        <v>48</v>
      </c>
      <c r="E15" s="16">
        <f t="shared" si="0"/>
        <v>0.16521739130434782</v>
      </c>
      <c r="F15" s="1" t="b">
        <f t="shared" si="13"/>
        <v>1</v>
      </c>
      <c r="G15" s="2">
        <v>64</v>
      </c>
      <c r="H15" s="17">
        <v>0.244722</v>
      </c>
      <c r="I15" s="17">
        <f t="shared" si="14"/>
        <v>1.2236099999999999</v>
      </c>
      <c r="J15" s="2">
        <v>2</v>
      </c>
      <c r="K15" s="17">
        <f t="shared" si="3"/>
        <v>0.11304347826086956</v>
      </c>
      <c r="L15" s="2" t="b">
        <f t="shared" si="15"/>
        <v>1</v>
      </c>
      <c r="M15" s="11">
        <v>76</v>
      </c>
      <c r="N15" s="18">
        <f t="shared" si="5"/>
        <v>0.32173913043478258</v>
      </c>
      <c r="O15" s="11" t="b">
        <f t="shared" si="9"/>
        <v>0</v>
      </c>
      <c r="P15" s="1">
        <v>70</v>
      </c>
      <c r="Q15" s="16">
        <f t="shared" si="6"/>
        <v>0.21739130434782608</v>
      </c>
      <c r="R15" s="1" t="b">
        <f t="shared" si="10"/>
        <v>1</v>
      </c>
      <c r="S15" s="4">
        <v>91</v>
      </c>
      <c r="T15" s="19">
        <f t="shared" si="7"/>
        <v>0.58260869565217388</v>
      </c>
      <c r="U15" s="4" t="b">
        <f t="shared" si="11"/>
        <v>0</v>
      </c>
      <c r="V15" s="5">
        <v>168</v>
      </c>
      <c r="W15" s="20">
        <f t="shared" si="8"/>
        <v>1.9217391304347826</v>
      </c>
      <c r="X15" s="5" t="b">
        <f t="shared" si="12"/>
        <v>0</v>
      </c>
    </row>
    <row r="16" spans="1:24" x14ac:dyDescent="0.3">
      <c r="A16" s="129"/>
      <c r="B16" s="12" t="s">
        <v>16</v>
      </c>
      <c r="C16" s="3">
        <v>27</v>
      </c>
      <c r="D16" s="1">
        <v>35</v>
      </c>
      <c r="E16" s="16">
        <f t="shared" si="0"/>
        <v>0.29629629629629628</v>
      </c>
      <c r="F16" s="1" t="b">
        <f t="shared" si="13"/>
        <v>0</v>
      </c>
      <c r="G16" s="2">
        <v>40</v>
      </c>
      <c r="H16" s="17">
        <v>0.10277799999999999</v>
      </c>
      <c r="I16" s="17">
        <f t="shared" si="14"/>
        <v>0.51388999999999996</v>
      </c>
      <c r="J16" s="2">
        <v>3</v>
      </c>
      <c r="K16" s="17">
        <f t="shared" si="3"/>
        <v>0.48148148148148145</v>
      </c>
      <c r="L16" s="2" t="b">
        <f t="shared" si="15"/>
        <v>0</v>
      </c>
      <c r="M16" s="11">
        <v>41</v>
      </c>
      <c r="N16" s="18">
        <f t="shared" si="5"/>
        <v>0.51851851851851849</v>
      </c>
      <c r="O16" s="11" t="b">
        <f t="shared" si="9"/>
        <v>0</v>
      </c>
      <c r="P16" s="1">
        <v>32</v>
      </c>
      <c r="Q16" s="16">
        <f t="shared" si="6"/>
        <v>0.18518518518518517</v>
      </c>
      <c r="R16" s="1" t="b">
        <f t="shared" si="10"/>
        <v>1</v>
      </c>
      <c r="S16" s="4">
        <v>36</v>
      </c>
      <c r="T16" s="19">
        <f t="shared" si="7"/>
        <v>0.33333333333333331</v>
      </c>
      <c r="U16" s="4" t="b">
        <f t="shared" si="11"/>
        <v>0</v>
      </c>
      <c r="V16" s="5">
        <v>104</v>
      </c>
      <c r="W16" s="20">
        <f t="shared" si="8"/>
        <v>2.8518518518518516</v>
      </c>
      <c r="X16" s="5" t="b">
        <f t="shared" si="12"/>
        <v>0</v>
      </c>
    </row>
    <row r="17" spans="1:24" x14ac:dyDescent="0.3">
      <c r="A17" s="129"/>
      <c r="B17" s="12" t="s">
        <v>17</v>
      </c>
      <c r="C17" s="3">
        <v>37.5</v>
      </c>
      <c r="D17" s="1">
        <v>44</v>
      </c>
      <c r="E17" s="16">
        <f t="shared" si="0"/>
        <v>0.17333333333333334</v>
      </c>
      <c r="F17" s="1" t="b">
        <f t="shared" si="13"/>
        <v>1</v>
      </c>
      <c r="G17" s="2">
        <v>40</v>
      </c>
      <c r="H17" s="17">
        <v>0.219722</v>
      </c>
      <c r="I17" s="17">
        <f t="shared" si="14"/>
        <v>1.0986100000000001</v>
      </c>
      <c r="J17" s="2">
        <v>1</v>
      </c>
      <c r="K17" s="17">
        <f t="shared" si="3"/>
        <v>6.6666666666666666E-2</v>
      </c>
      <c r="L17" s="2" t="b">
        <f t="shared" si="15"/>
        <v>1</v>
      </c>
      <c r="M17" s="11">
        <v>44</v>
      </c>
      <c r="N17" s="18">
        <f t="shared" si="5"/>
        <v>0.17333333333333334</v>
      </c>
      <c r="O17" s="11" t="b">
        <f t="shared" si="9"/>
        <v>1</v>
      </c>
      <c r="P17" s="1">
        <v>80</v>
      </c>
      <c r="Q17" s="16">
        <f t="shared" si="6"/>
        <v>1.1333333333333333</v>
      </c>
      <c r="R17" s="1" t="b">
        <f t="shared" si="10"/>
        <v>0</v>
      </c>
      <c r="S17" s="4">
        <v>83</v>
      </c>
      <c r="T17" s="19">
        <f t="shared" si="7"/>
        <v>1.2133333333333334</v>
      </c>
      <c r="U17" s="4" t="b">
        <f t="shared" si="11"/>
        <v>0</v>
      </c>
      <c r="V17" s="5">
        <v>80</v>
      </c>
      <c r="W17" s="20">
        <f t="shared" si="8"/>
        <v>1.1333333333333333</v>
      </c>
      <c r="X17" s="5" t="b">
        <f t="shared" si="12"/>
        <v>0</v>
      </c>
    </row>
    <row r="18" spans="1:24" x14ac:dyDescent="0.3">
      <c r="A18" s="129"/>
      <c r="B18" s="12" t="s">
        <v>18</v>
      </c>
      <c r="C18" s="3">
        <v>10.75</v>
      </c>
      <c r="D18" s="1">
        <v>8</v>
      </c>
      <c r="E18" s="16">
        <f t="shared" si="0"/>
        <v>0.2558139534883721</v>
      </c>
      <c r="F18" s="1" t="b">
        <f t="shared" si="13"/>
        <v>0</v>
      </c>
      <c r="G18" s="2">
        <v>16</v>
      </c>
      <c r="H18" s="17">
        <v>9.9166699999999997E-2</v>
      </c>
      <c r="I18" s="17">
        <f t="shared" si="14"/>
        <v>0.49583349999999998</v>
      </c>
      <c r="J18" s="2">
        <v>2</v>
      </c>
      <c r="K18" s="17">
        <f t="shared" si="3"/>
        <v>0.48837209302325579</v>
      </c>
      <c r="L18" s="2" t="b">
        <f t="shared" si="15"/>
        <v>0</v>
      </c>
      <c r="M18" s="11">
        <v>22</v>
      </c>
      <c r="N18" s="18">
        <f t="shared" si="5"/>
        <v>1.0465116279069768</v>
      </c>
      <c r="O18" s="11" t="b">
        <f t="shared" si="9"/>
        <v>0</v>
      </c>
      <c r="P18" s="1">
        <v>32</v>
      </c>
      <c r="Q18" s="16">
        <f t="shared" si="6"/>
        <v>1.9767441860465116</v>
      </c>
      <c r="R18" s="1" t="b">
        <f t="shared" si="10"/>
        <v>0</v>
      </c>
      <c r="S18" s="4">
        <v>35</v>
      </c>
      <c r="T18" s="19">
        <f t="shared" si="7"/>
        <v>2.2558139534883721</v>
      </c>
      <c r="U18" s="4" t="b">
        <f t="shared" si="11"/>
        <v>0</v>
      </c>
      <c r="V18" s="5">
        <v>48</v>
      </c>
      <c r="W18" s="20">
        <f t="shared" si="8"/>
        <v>3.4651162790697674</v>
      </c>
      <c r="X18" s="5" t="b">
        <f t="shared" si="12"/>
        <v>0</v>
      </c>
    </row>
    <row r="19" spans="1:24" x14ac:dyDescent="0.3">
      <c r="A19" s="129"/>
      <c r="B19" s="12" t="s">
        <v>19</v>
      </c>
      <c r="C19" s="3">
        <v>47.75</v>
      </c>
      <c r="D19" s="1">
        <v>40</v>
      </c>
      <c r="E19" s="16">
        <f t="shared" si="0"/>
        <v>0.16230366492146597</v>
      </c>
      <c r="F19" s="1" t="b">
        <f t="shared" si="13"/>
        <v>1</v>
      </c>
      <c r="G19" s="2">
        <v>40</v>
      </c>
      <c r="H19" s="17">
        <v>0.152222</v>
      </c>
      <c r="I19" s="17">
        <f t="shared" si="14"/>
        <v>0.76110999999999995</v>
      </c>
      <c r="J19" s="2">
        <v>2</v>
      </c>
      <c r="K19" s="17">
        <f t="shared" si="3"/>
        <v>0.16230366492146597</v>
      </c>
      <c r="L19" s="2" t="b">
        <f t="shared" si="15"/>
        <v>1</v>
      </c>
      <c r="M19" s="11">
        <v>53</v>
      </c>
      <c r="N19" s="18">
        <f t="shared" si="5"/>
        <v>0.1099476439790576</v>
      </c>
      <c r="O19" s="11" t="b">
        <f t="shared" si="9"/>
        <v>1</v>
      </c>
      <c r="P19" s="1">
        <v>72</v>
      </c>
      <c r="Q19" s="16">
        <f t="shared" si="6"/>
        <v>0.50785340314136129</v>
      </c>
      <c r="R19" s="1" t="b">
        <f t="shared" si="10"/>
        <v>0</v>
      </c>
      <c r="S19" s="4">
        <v>122</v>
      </c>
      <c r="T19" s="19">
        <f t="shared" si="7"/>
        <v>1.5549738219895288</v>
      </c>
      <c r="U19" s="4" t="b">
        <f t="shared" si="11"/>
        <v>0</v>
      </c>
      <c r="V19" s="5">
        <v>72</v>
      </c>
      <c r="W19" s="20">
        <f t="shared" si="8"/>
        <v>0.50785340314136129</v>
      </c>
      <c r="X19" s="5" t="b">
        <f t="shared" si="12"/>
        <v>0</v>
      </c>
    </row>
    <row r="20" spans="1:24" x14ac:dyDescent="0.3">
      <c r="A20" s="129"/>
      <c r="B20" s="12" t="s">
        <v>20</v>
      </c>
      <c r="C20" s="3">
        <v>35.5</v>
      </c>
      <c r="D20" s="1">
        <v>40</v>
      </c>
      <c r="E20" s="16">
        <f t="shared" si="0"/>
        <v>0.12676056338028169</v>
      </c>
      <c r="F20" s="1" t="b">
        <f t="shared" si="13"/>
        <v>1</v>
      </c>
      <c r="G20" s="2">
        <v>40</v>
      </c>
      <c r="H20" s="17">
        <v>9.2499999999999999E-2</v>
      </c>
      <c r="I20" s="17">
        <f t="shared" si="14"/>
        <v>0.46250000000000002</v>
      </c>
      <c r="J20" s="2">
        <v>2</v>
      </c>
      <c r="K20" s="17">
        <f t="shared" si="3"/>
        <v>0.12676056338028169</v>
      </c>
      <c r="L20" s="2" t="b">
        <f t="shared" si="15"/>
        <v>1</v>
      </c>
      <c r="M20" s="11">
        <v>52</v>
      </c>
      <c r="N20" s="18">
        <f t="shared" si="5"/>
        <v>0.46478873239436619</v>
      </c>
      <c r="O20" s="11" t="b">
        <f t="shared" si="9"/>
        <v>0</v>
      </c>
      <c r="P20" s="1">
        <v>88</v>
      </c>
      <c r="Q20" s="16">
        <f t="shared" si="6"/>
        <v>1.4788732394366197</v>
      </c>
      <c r="R20" s="1" t="b">
        <f t="shared" si="10"/>
        <v>0</v>
      </c>
      <c r="S20" s="4">
        <v>108</v>
      </c>
      <c r="T20" s="19">
        <f t="shared" si="7"/>
        <v>2.0422535211267605</v>
      </c>
      <c r="U20" s="4" t="b">
        <f t="shared" si="11"/>
        <v>0</v>
      </c>
      <c r="V20" s="5">
        <v>108</v>
      </c>
      <c r="W20" s="20">
        <f t="shared" si="8"/>
        <v>2.0422535211267605</v>
      </c>
      <c r="X20" s="5" t="b">
        <f t="shared" si="12"/>
        <v>0</v>
      </c>
    </row>
    <row r="21" spans="1:24" x14ac:dyDescent="0.3">
      <c r="A21" s="129"/>
      <c r="B21" s="12" t="s">
        <v>21</v>
      </c>
      <c r="C21" s="3">
        <v>47</v>
      </c>
      <c r="D21" s="1">
        <v>43.5</v>
      </c>
      <c r="E21" s="16">
        <f t="shared" si="0"/>
        <v>7.4468085106382975E-2</v>
      </c>
      <c r="F21" s="1" t="b">
        <f>IF(E21&lt;=0.25,TRUE,FALSE)</f>
        <v>1</v>
      </c>
      <c r="G21" s="2">
        <v>64</v>
      </c>
      <c r="H21" s="17">
        <v>0.16222200000000001</v>
      </c>
      <c r="I21" s="17">
        <f>H21*5</f>
        <v>0.81111</v>
      </c>
      <c r="J21" s="2">
        <v>3</v>
      </c>
      <c r="K21" s="17">
        <f t="shared" si="3"/>
        <v>0.36170212765957449</v>
      </c>
      <c r="L21" s="2" t="b">
        <f>IF(K21&lt;=0.25,TRUE,FALSE)</f>
        <v>0</v>
      </c>
      <c r="M21" s="11">
        <v>66</v>
      </c>
      <c r="N21" s="18">
        <f t="shared" si="5"/>
        <v>0.40425531914893614</v>
      </c>
      <c r="O21" s="11" t="b">
        <f>IF(N21&lt;=0.25,TRUE,FALSE)</f>
        <v>0</v>
      </c>
      <c r="P21" s="1">
        <v>76</v>
      </c>
      <c r="Q21" s="16">
        <f t="shared" si="6"/>
        <v>0.61702127659574468</v>
      </c>
      <c r="R21" s="1" t="b">
        <f>IF(Q21&lt;=0.25,TRUE,FALSE)</f>
        <v>0</v>
      </c>
      <c r="S21" s="4">
        <v>93</v>
      </c>
      <c r="T21" s="19">
        <f t="shared" si="7"/>
        <v>0.97872340425531912</v>
      </c>
      <c r="U21" s="4" t="b">
        <f>IF(T21&lt;=0.25,TRUE,FALSE)</f>
        <v>0</v>
      </c>
      <c r="V21" s="5">
        <v>100</v>
      </c>
      <c r="W21" s="20">
        <f t="shared" si="8"/>
        <v>1.1276595744680851</v>
      </c>
      <c r="X21" s="5" t="b">
        <f>IF(W21&lt;=0.25,TRUE,FALSE)</f>
        <v>0</v>
      </c>
    </row>
    <row r="22" spans="1:24" x14ac:dyDescent="0.3">
      <c r="A22" s="129"/>
      <c r="B22" s="12" t="s">
        <v>74</v>
      </c>
      <c r="C22" s="3">
        <v>28</v>
      </c>
      <c r="D22" s="1">
        <v>20</v>
      </c>
      <c r="E22" s="16">
        <f t="shared" si="0"/>
        <v>0.2857142857142857</v>
      </c>
      <c r="F22" s="1" t="b">
        <f>IF(E22&lt;=0.25,TRUE,FALSE)</f>
        <v>0</v>
      </c>
      <c r="G22" s="2">
        <v>40</v>
      </c>
      <c r="H22" s="17">
        <v>0.1225</v>
      </c>
      <c r="I22" s="17">
        <f>H22*5</f>
        <v>0.61250000000000004</v>
      </c>
      <c r="J22" s="2">
        <v>3</v>
      </c>
      <c r="K22" s="17">
        <f t="shared" si="3"/>
        <v>0.42857142857142855</v>
      </c>
      <c r="L22" s="2" t="b">
        <f>IF(K22&lt;=0.25,TRUE,FALSE)</f>
        <v>0</v>
      </c>
      <c r="M22" s="11">
        <v>24</v>
      </c>
      <c r="N22" s="18">
        <f t="shared" si="5"/>
        <v>0.14285714285714285</v>
      </c>
      <c r="O22" s="11" t="b">
        <f>IF(N22&lt;=0.25,TRUE,FALSE)</f>
        <v>1</v>
      </c>
      <c r="P22" s="1">
        <v>50</v>
      </c>
      <c r="Q22" s="16">
        <f t="shared" si="6"/>
        <v>0.7857142857142857</v>
      </c>
      <c r="R22" s="1" t="b">
        <f>IF(Q22&lt;=0.25,TRUE,FALSE)</f>
        <v>0</v>
      </c>
      <c r="S22" s="4">
        <v>65</v>
      </c>
      <c r="T22" s="19">
        <f t="shared" si="7"/>
        <v>1.3214285714285714</v>
      </c>
      <c r="U22" s="4" t="b">
        <f>IF(T22&lt;=0.25,TRUE,FALSE)</f>
        <v>0</v>
      </c>
      <c r="V22" s="5">
        <v>111</v>
      </c>
      <c r="W22" s="20">
        <f t="shared" si="8"/>
        <v>2.9642857142857144</v>
      </c>
      <c r="X22" s="5" t="b">
        <f>IF(W22&lt;=0.25,TRUE,FALSE)</f>
        <v>0</v>
      </c>
    </row>
    <row r="23" spans="1:24" x14ac:dyDescent="0.3">
      <c r="A23" s="130"/>
      <c r="B23" s="12" t="s">
        <v>75</v>
      </c>
      <c r="C23" s="3">
        <v>28</v>
      </c>
      <c r="D23" s="1">
        <v>20</v>
      </c>
      <c r="E23" s="16">
        <f t="shared" si="0"/>
        <v>0.2857142857142857</v>
      </c>
      <c r="F23" s="1" t="b">
        <f>IF(E23&lt;=0.25,TRUE,FALSE)</f>
        <v>0</v>
      </c>
      <c r="G23" s="2">
        <v>64</v>
      </c>
      <c r="H23" s="17">
        <v>0.14055555555555554</v>
      </c>
      <c r="I23" s="17">
        <f>H23*5</f>
        <v>0.70277777777777772</v>
      </c>
      <c r="J23" s="2">
        <v>2</v>
      </c>
      <c r="K23" s="17">
        <f t="shared" si="3"/>
        <v>1.2857142857142858</v>
      </c>
      <c r="L23" s="2" t="b">
        <f>IF(K23&lt;=0.25,TRUE,FALSE)</f>
        <v>0</v>
      </c>
      <c r="M23" s="11">
        <v>46</v>
      </c>
      <c r="N23" s="18">
        <f t="shared" si="5"/>
        <v>0.6428571428571429</v>
      </c>
      <c r="O23" s="11" t="b">
        <f>IF(N23&lt;=0.25,TRUE,FALSE)</f>
        <v>0</v>
      </c>
      <c r="P23" s="1">
        <v>68</v>
      </c>
      <c r="Q23" s="16">
        <f t="shared" si="6"/>
        <v>1.4285714285714286</v>
      </c>
      <c r="R23" s="1" t="b">
        <f>IF(Q23&lt;=0.25,TRUE,FALSE)</f>
        <v>0</v>
      </c>
      <c r="S23" s="4">
        <v>49</v>
      </c>
      <c r="T23" s="19">
        <f t="shared" si="7"/>
        <v>0.75</v>
      </c>
      <c r="U23" s="4" t="b">
        <f>IF(T23&lt;=0.25,TRUE,FALSE)</f>
        <v>0</v>
      </c>
      <c r="V23" s="5">
        <v>44</v>
      </c>
      <c r="W23" s="20">
        <f t="shared" si="8"/>
        <v>0.5714285714285714</v>
      </c>
      <c r="X23" s="5" t="b">
        <f>IF(W23&lt;=0.25,TRUE,FALSE)</f>
        <v>0</v>
      </c>
    </row>
    <row r="24" spans="1:24" x14ac:dyDescent="0.3">
      <c r="A24" s="14" t="s">
        <v>68</v>
      </c>
      <c r="B24" s="12"/>
      <c r="C24" s="12">
        <f>SUM(C11:C23)</f>
        <v>489</v>
      </c>
      <c r="D24" s="6">
        <f>SUM(D11:D23)</f>
        <v>469</v>
      </c>
      <c r="E24" s="26">
        <f>AVERAGE(E11:E23)</f>
        <v>0.17069681805525375</v>
      </c>
      <c r="F24" s="26">
        <f>COUNTIF(F11:F23, TRUE)/ROWS(B11:B23)</f>
        <v>0.69230769230769229</v>
      </c>
      <c r="G24" s="7">
        <f>SUM(G11:G23)</f>
        <v>616</v>
      </c>
      <c r="H24" s="27">
        <f>SUM(H11:H23)</f>
        <v>1.904999355555556</v>
      </c>
      <c r="I24" s="27">
        <f>SUM(I11:I23)</f>
        <v>9.524996777777778</v>
      </c>
      <c r="J24" s="7">
        <f>SUM(J11:J23)</f>
        <v>30</v>
      </c>
      <c r="K24" s="27">
        <f>AVERAGE(K11:K23)</f>
        <v>0.33762195947213514</v>
      </c>
      <c r="L24" s="27">
        <f>COUNTIF(L11:L23, TRUE)/ROWS(B11:B23)</f>
        <v>0.53846153846153844</v>
      </c>
      <c r="M24" s="8">
        <f>SUM(M11:M23)</f>
        <v>642</v>
      </c>
      <c r="N24" s="28">
        <f>AVERAGE(N11:N23)</f>
        <v>0.42877769691021916</v>
      </c>
      <c r="O24" s="28">
        <f>COUNTIF(O11:O23, TRUE)/ROWS(B11:B23)</f>
        <v>0.46153846153846156</v>
      </c>
      <c r="P24" s="6">
        <f>SUM(P11:P23)</f>
        <v>763</v>
      </c>
      <c r="Q24" s="26">
        <f>AVERAGE(Q11:Q23)</f>
        <v>0.69982970219783891</v>
      </c>
      <c r="R24" s="26">
        <f>COUNTIF(R11:R23, TRUE)/ROWS(B11:B23)</f>
        <v>0.38461538461538464</v>
      </c>
      <c r="S24" s="9">
        <f>SUM(S11:S23)</f>
        <v>972</v>
      </c>
      <c r="T24" s="29">
        <f>AVERAGE(T11:T23)</f>
        <v>1.0863970419634632</v>
      </c>
      <c r="U24" s="29">
        <f>COUNTIF(U11:U23, TRUE)/ROWS(B11:B23)</f>
        <v>7.6923076923076927E-2</v>
      </c>
      <c r="V24" s="10">
        <f>SUM(V11:V23)</f>
        <v>1335</v>
      </c>
      <c r="W24" s="30">
        <f>AVERAGE(W11:W23)</f>
        <v>1.9272552692017493</v>
      </c>
      <c r="X24" s="30">
        <f>COUNTIF(X11:X23, TRUE)/ROWS(B11:B23)</f>
        <v>0</v>
      </c>
    </row>
    <row r="25" spans="1:24" x14ac:dyDescent="0.3">
      <c r="A25" s="128" t="s">
        <v>70</v>
      </c>
      <c r="B25" s="12" t="s">
        <v>22</v>
      </c>
      <c r="C25" s="3">
        <v>28</v>
      </c>
      <c r="D25" s="1">
        <v>20</v>
      </c>
      <c r="E25" s="16">
        <f t="shared" si="0"/>
        <v>0.2857142857142857</v>
      </c>
      <c r="F25" s="1" t="b">
        <f t="shared" ref="F25:F32" si="16">IF(E25&lt;=0.25,TRUE,FALSE)</f>
        <v>0</v>
      </c>
      <c r="G25" s="2">
        <v>64</v>
      </c>
      <c r="H25" s="17">
        <v>0.12166666666666667</v>
      </c>
      <c r="I25" s="17">
        <f>H25*5</f>
        <v>0.60833333333333339</v>
      </c>
      <c r="J25" s="2">
        <v>3</v>
      </c>
      <c r="K25" s="17">
        <f t="shared" si="3"/>
        <v>1.2857142857142858</v>
      </c>
      <c r="L25" s="2" t="b">
        <f t="shared" ref="L25:L33" si="17">IF(K25&lt;=0.25,TRUE,FALSE)</f>
        <v>0</v>
      </c>
      <c r="M25" s="11">
        <v>60</v>
      </c>
      <c r="N25" s="18">
        <f t="shared" si="5"/>
        <v>1.1428571428571428</v>
      </c>
      <c r="O25" s="11" t="b">
        <f t="shared" si="9"/>
        <v>0</v>
      </c>
      <c r="P25" s="1">
        <v>90</v>
      </c>
      <c r="Q25" s="16">
        <f t="shared" si="6"/>
        <v>2.2142857142857144</v>
      </c>
      <c r="R25" s="1" t="b">
        <f t="shared" si="10"/>
        <v>0</v>
      </c>
      <c r="S25" s="4">
        <v>82</v>
      </c>
      <c r="T25" s="19">
        <f t="shared" si="7"/>
        <v>1.9285714285714286</v>
      </c>
      <c r="U25" s="4" t="b">
        <f t="shared" si="11"/>
        <v>0</v>
      </c>
      <c r="V25" s="5">
        <v>224</v>
      </c>
      <c r="W25" s="20">
        <f t="shared" si="8"/>
        <v>7</v>
      </c>
      <c r="X25" s="5" t="b">
        <f t="shared" si="12"/>
        <v>0</v>
      </c>
    </row>
    <row r="26" spans="1:24" x14ac:dyDescent="0.3">
      <c r="A26" s="129"/>
      <c r="B26" s="12" t="s">
        <v>23</v>
      </c>
      <c r="C26" s="3">
        <v>82.5</v>
      </c>
      <c r="D26" s="1">
        <v>64</v>
      </c>
      <c r="E26" s="16">
        <f t="shared" si="0"/>
        <v>0.22424242424242424</v>
      </c>
      <c r="F26" s="1" t="b">
        <f t="shared" si="16"/>
        <v>1</v>
      </c>
      <c r="G26" s="2">
        <v>104</v>
      </c>
      <c r="H26" s="17">
        <v>0.1713888888888889</v>
      </c>
      <c r="I26" s="17">
        <f>H26*5</f>
        <v>0.85694444444444451</v>
      </c>
      <c r="J26" s="2">
        <v>2</v>
      </c>
      <c r="K26" s="17">
        <f t="shared" si="3"/>
        <v>0.26060606060606062</v>
      </c>
      <c r="L26" s="2" t="b">
        <f t="shared" si="17"/>
        <v>0</v>
      </c>
      <c r="M26" s="11">
        <v>105</v>
      </c>
      <c r="N26" s="18">
        <f t="shared" si="5"/>
        <v>0.27272727272727271</v>
      </c>
      <c r="O26" s="11" t="b">
        <f t="shared" si="9"/>
        <v>0</v>
      </c>
      <c r="P26" s="1">
        <v>160</v>
      </c>
      <c r="Q26" s="16">
        <f t="shared" si="6"/>
        <v>0.93939393939393945</v>
      </c>
      <c r="R26" s="1" t="b">
        <f t="shared" si="10"/>
        <v>0</v>
      </c>
      <c r="S26" s="4">
        <v>150</v>
      </c>
      <c r="T26" s="19">
        <f t="shared" si="7"/>
        <v>0.81818181818181823</v>
      </c>
      <c r="U26" s="4" t="b">
        <f t="shared" si="11"/>
        <v>0</v>
      </c>
      <c r="V26" s="5">
        <v>152</v>
      </c>
      <c r="W26" s="20">
        <f t="shared" si="8"/>
        <v>0.84242424242424241</v>
      </c>
      <c r="X26" s="5" t="b">
        <f t="shared" si="12"/>
        <v>0</v>
      </c>
    </row>
    <row r="27" spans="1:24" x14ac:dyDescent="0.3">
      <c r="A27" s="129"/>
      <c r="B27" s="12" t="s">
        <v>24</v>
      </c>
      <c r="C27" s="3">
        <v>59.6</v>
      </c>
      <c r="D27" s="1">
        <v>56</v>
      </c>
      <c r="E27" s="16">
        <f t="shared" si="0"/>
        <v>6.0402684563758413E-2</v>
      </c>
      <c r="F27" s="1" t="b">
        <f t="shared" si="16"/>
        <v>1</v>
      </c>
      <c r="G27" s="2">
        <v>64</v>
      </c>
      <c r="H27" s="17">
        <v>0.11694444444444445</v>
      </c>
      <c r="I27" s="17">
        <f>H27*5</f>
        <v>0.58472222222222225</v>
      </c>
      <c r="J27" s="2">
        <v>3</v>
      </c>
      <c r="K27" s="17">
        <f t="shared" si="3"/>
        <v>7.3825503355704675E-2</v>
      </c>
      <c r="L27" s="2" t="b">
        <f t="shared" si="17"/>
        <v>1</v>
      </c>
      <c r="M27" s="11">
        <v>57</v>
      </c>
      <c r="N27" s="18">
        <f t="shared" si="5"/>
        <v>4.3624161073825524E-2</v>
      </c>
      <c r="O27" s="11" t="b">
        <f t="shared" si="9"/>
        <v>1</v>
      </c>
      <c r="P27" s="1">
        <v>84</v>
      </c>
      <c r="Q27" s="16">
        <f t="shared" si="6"/>
        <v>0.40939597315436238</v>
      </c>
      <c r="R27" s="1" t="b">
        <f t="shared" si="10"/>
        <v>0</v>
      </c>
      <c r="S27" s="4">
        <v>78</v>
      </c>
      <c r="T27" s="19">
        <f t="shared" si="7"/>
        <v>0.30872483221476504</v>
      </c>
      <c r="U27" s="4" t="b">
        <f t="shared" si="11"/>
        <v>0</v>
      </c>
      <c r="V27" s="5">
        <v>88</v>
      </c>
      <c r="W27" s="20">
        <f t="shared" si="8"/>
        <v>0.47651006711409394</v>
      </c>
      <c r="X27" s="5" t="b">
        <f t="shared" si="12"/>
        <v>0</v>
      </c>
    </row>
    <row r="28" spans="1:24" x14ac:dyDescent="0.3">
      <c r="A28" s="129"/>
      <c r="B28" s="12" t="s">
        <v>25</v>
      </c>
      <c r="C28" s="3">
        <v>26</v>
      </c>
      <c r="D28" s="1">
        <v>12</v>
      </c>
      <c r="E28" s="16">
        <f t="shared" si="0"/>
        <v>0.53846153846153844</v>
      </c>
      <c r="F28" s="1" t="b">
        <f t="shared" si="16"/>
        <v>0</v>
      </c>
      <c r="G28" s="2">
        <v>24</v>
      </c>
      <c r="H28" s="17">
        <v>0.12583333333333332</v>
      </c>
      <c r="I28" s="17">
        <f>H28*5</f>
        <v>0.62916666666666665</v>
      </c>
      <c r="J28" s="2">
        <v>2</v>
      </c>
      <c r="K28" s="17">
        <f t="shared" si="3"/>
        <v>7.6923076923076927E-2</v>
      </c>
      <c r="L28" s="2" t="b">
        <f t="shared" si="17"/>
        <v>1</v>
      </c>
      <c r="M28" s="11">
        <v>50</v>
      </c>
      <c r="N28" s="18">
        <f t="shared" si="5"/>
        <v>0.92307692307692313</v>
      </c>
      <c r="O28" s="11" t="b">
        <f t="shared" si="9"/>
        <v>0</v>
      </c>
      <c r="P28" s="1">
        <v>96</v>
      </c>
      <c r="Q28" s="16">
        <f t="shared" si="6"/>
        <v>2.6923076923076925</v>
      </c>
      <c r="R28" s="1" t="b">
        <f t="shared" si="10"/>
        <v>0</v>
      </c>
      <c r="S28" s="4">
        <v>66</v>
      </c>
      <c r="T28" s="19">
        <f t="shared" si="7"/>
        <v>1.5384615384615385</v>
      </c>
      <c r="U28" s="4" t="b">
        <f t="shared" si="11"/>
        <v>0</v>
      </c>
      <c r="V28" s="5">
        <v>88</v>
      </c>
      <c r="W28" s="20">
        <f t="shared" si="8"/>
        <v>2.3846153846153846</v>
      </c>
      <c r="X28" s="5" t="b">
        <f t="shared" si="12"/>
        <v>0</v>
      </c>
    </row>
    <row r="29" spans="1:24" x14ac:dyDescent="0.3">
      <c r="A29" s="129"/>
      <c r="B29" s="12" t="s">
        <v>26</v>
      </c>
      <c r="C29" s="3">
        <v>44</v>
      </c>
      <c r="D29" s="1">
        <v>32</v>
      </c>
      <c r="E29" s="16">
        <f>ABS(C29-D29)/C29</f>
        <v>0.27272727272727271</v>
      </c>
      <c r="F29" s="1" t="b">
        <f t="shared" si="16"/>
        <v>0</v>
      </c>
      <c r="G29" s="2">
        <v>40</v>
      </c>
      <c r="H29" s="17">
        <v>0.10583333333333333</v>
      </c>
      <c r="I29" s="17">
        <f>H29*5</f>
        <v>0.52916666666666667</v>
      </c>
      <c r="J29" s="2">
        <v>2</v>
      </c>
      <c r="K29" s="17">
        <f>ABS(C29-G29)/C29</f>
        <v>9.0909090909090912E-2</v>
      </c>
      <c r="L29" s="2" t="b">
        <f t="shared" si="17"/>
        <v>1</v>
      </c>
      <c r="M29" s="11">
        <v>76</v>
      </c>
      <c r="N29" s="18">
        <f t="shared" ref="N29:N33" si="18">ABS(C29-M29)/C29</f>
        <v>0.72727272727272729</v>
      </c>
      <c r="O29" s="11" t="b">
        <f t="shared" ref="O29:O33" si="19">IF(N29&lt;=0.25,TRUE,FALSE)</f>
        <v>0</v>
      </c>
      <c r="P29" s="1">
        <v>152</v>
      </c>
      <c r="Q29" s="16">
        <f t="shared" ref="Q29:Q33" si="20">ABS(C29-P29)/C29</f>
        <v>2.4545454545454546</v>
      </c>
      <c r="R29" s="1" t="b">
        <f t="shared" ref="R29:R33" si="21">IF(Q29&lt;=0.25,TRUE,FALSE)</f>
        <v>0</v>
      </c>
      <c r="S29" s="4">
        <v>142</v>
      </c>
      <c r="T29" s="19">
        <f t="shared" ref="T29:T33" si="22">ABS(C29-S29)/C29</f>
        <v>2.2272727272727271</v>
      </c>
      <c r="U29" s="4" t="b">
        <f t="shared" ref="U29:U33" si="23">IF(T29&lt;=0.25,TRUE,FALSE)</f>
        <v>0</v>
      </c>
      <c r="V29" s="5">
        <v>180</v>
      </c>
      <c r="W29" s="20">
        <f t="shared" ref="W29:W33" si="24">ABS(C29-V29)/C29</f>
        <v>3.0909090909090908</v>
      </c>
      <c r="X29" s="5" t="b">
        <f t="shared" ref="X29:X33" si="25">IF(W29&lt;=0.25,TRUE,FALSE)</f>
        <v>0</v>
      </c>
    </row>
    <row r="30" spans="1:24" x14ac:dyDescent="0.3">
      <c r="A30" s="129"/>
      <c r="B30" s="12" t="s">
        <v>101</v>
      </c>
      <c r="C30" s="3">
        <v>137.25</v>
      </c>
      <c r="D30" s="1">
        <v>88</v>
      </c>
      <c r="E30" s="16">
        <f>ABS(C30-D30)/C30</f>
        <v>0.35883424408014569</v>
      </c>
      <c r="F30" s="1" t="b">
        <f t="shared" si="16"/>
        <v>0</v>
      </c>
      <c r="G30" s="2">
        <v>104</v>
      </c>
      <c r="H30" s="17">
        <v>0.1386111111111111</v>
      </c>
      <c r="I30" s="17">
        <f t="shared" ref="I30:I33" si="26">H30*5</f>
        <v>0.69305555555555554</v>
      </c>
      <c r="J30" s="2">
        <v>2</v>
      </c>
      <c r="K30" s="17">
        <f>ABS(C30-G30)/C30</f>
        <v>0.24225865209471767</v>
      </c>
      <c r="L30" s="2" t="b">
        <f t="shared" si="17"/>
        <v>1</v>
      </c>
      <c r="M30" s="11">
        <v>120</v>
      </c>
      <c r="N30" s="18">
        <f t="shared" si="18"/>
        <v>0.12568306010928962</v>
      </c>
      <c r="O30" s="11" t="b">
        <f t="shared" si="19"/>
        <v>1</v>
      </c>
      <c r="P30" s="1">
        <v>110</v>
      </c>
      <c r="Q30" s="16">
        <f t="shared" si="20"/>
        <v>0.19854280510018216</v>
      </c>
      <c r="R30" s="1" t="b">
        <f t="shared" si="21"/>
        <v>1</v>
      </c>
      <c r="S30" s="4">
        <v>65</v>
      </c>
      <c r="T30" s="19">
        <f t="shared" si="22"/>
        <v>0.5264116575591985</v>
      </c>
      <c r="U30" s="4" t="b">
        <f t="shared" si="23"/>
        <v>0</v>
      </c>
      <c r="V30" s="5">
        <v>424</v>
      </c>
      <c r="W30" s="20">
        <f t="shared" si="24"/>
        <v>2.0892531876138434</v>
      </c>
      <c r="X30" s="5" t="b">
        <f t="shared" si="25"/>
        <v>0</v>
      </c>
    </row>
    <row r="31" spans="1:24" x14ac:dyDescent="0.3">
      <c r="A31" s="129"/>
      <c r="B31" s="12" t="s">
        <v>102</v>
      </c>
      <c r="C31" s="3">
        <v>155.5</v>
      </c>
      <c r="D31" s="1">
        <v>116</v>
      </c>
      <c r="E31" s="16">
        <f>ABS(C31-D31)/C31</f>
        <v>0.25401929260450162</v>
      </c>
      <c r="F31" s="1" t="b">
        <f t="shared" si="16"/>
        <v>0</v>
      </c>
      <c r="G31" s="2">
        <v>160</v>
      </c>
      <c r="H31" s="17">
        <v>0.10638888888888889</v>
      </c>
      <c r="I31" s="17">
        <f t="shared" si="26"/>
        <v>0.53194444444444444</v>
      </c>
      <c r="J31" s="2">
        <v>2</v>
      </c>
      <c r="K31" s="17">
        <f>ABS(C31-G31)/C31</f>
        <v>2.8938906752411574E-2</v>
      </c>
      <c r="L31" s="2" t="b">
        <f t="shared" si="17"/>
        <v>1</v>
      </c>
      <c r="M31" s="11">
        <v>137</v>
      </c>
      <c r="N31" s="18">
        <f t="shared" si="18"/>
        <v>0.11897106109324759</v>
      </c>
      <c r="O31" s="11" t="b">
        <f t="shared" si="19"/>
        <v>1</v>
      </c>
      <c r="P31" s="1">
        <v>132</v>
      </c>
      <c r="Q31" s="16">
        <f t="shared" si="20"/>
        <v>0.15112540192926044</v>
      </c>
      <c r="R31" s="1" t="b">
        <f t="shared" si="21"/>
        <v>1</v>
      </c>
      <c r="S31" s="4">
        <v>79</v>
      </c>
      <c r="T31" s="19">
        <f t="shared" si="22"/>
        <v>0.49196141479099681</v>
      </c>
      <c r="U31" s="4" t="b">
        <f t="shared" si="23"/>
        <v>0</v>
      </c>
      <c r="V31" s="5">
        <v>480</v>
      </c>
      <c r="W31" s="20">
        <f t="shared" si="24"/>
        <v>2.0868167202572345</v>
      </c>
      <c r="X31" s="5" t="b">
        <f t="shared" si="25"/>
        <v>0</v>
      </c>
    </row>
    <row r="32" spans="1:24" x14ac:dyDescent="0.3">
      <c r="A32" s="129"/>
      <c r="B32" s="12" t="s">
        <v>103</v>
      </c>
      <c r="C32" s="3">
        <v>246.5</v>
      </c>
      <c r="D32" s="1">
        <v>328</v>
      </c>
      <c r="E32" s="16">
        <f>ABS(C32-D32)/C32</f>
        <v>0.33062880324543609</v>
      </c>
      <c r="F32" s="1" t="b">
        <f t="shared" si="16"/>
        <v>0</v>
      </c>
      <c r="G32" s="2">
        <v>64</v>
      </c>
      <c r="H32" s="17">
        <v>9.1666666999999993E-2</v>
      </c>
      <c r="I32" s="17">
        <f t="shared" si="26"/>
        <v>0.45833333499999995</v>
      </c>
      <c r="J32" s="2">
        <v>2</v>
      </c>
      <c r="K32" s="17">
        <f t="shared" ref="K32:K33" si="27">ABS(C32-G32)/C32</f>
        <v>0.74036511156186613</v>
      </c>
      <c r="L32" s="2" t="b">
        <f t="shared" si="17"/>
        <v>0</v>
      </c>
      <c r="M32" s="11">
        <v>137</v>
      </c>
      <c r="N32" s="18">
        <f t="shared" si="18"/>
        <v>0.44421906693711966</v>
      </c>
      <c r="O32" s="11" t="b">
        <f t="shared" si="19"/>
        <v>0</v>
      </c>
      <c r="P32" s="1">
        <v>160</v>
      </c>
      <c r="Q32" s="16">
        <f t="shared" si="20"/>
        <v>0.35091277890466532</v>
      </c>
      <c r="R32" s="1" t="b">
        <f t="shared" si="21"/>
        <v>0</v>
      </c>
      <c r="S32" s="4">
        <v>120</v>
      </c>
      <c r="T32" s="19">
        <f t="shared" si="22"/>
        <v>0.51318458417849899</v>
      </c>
      <c r="U32" s="4" t="b">
        <f t="shared" si="23"/>
        <v>0</v>
      </c>
      <c r="V32" s="5">
        <v>670</v>
      </c>
      <c r="W32" s="20">
        <f t="shared" si="24"/>
        <v>1.7180527383367139</v>
      </c>
      <c r="X32" s="5" t="b">
        <f t="shared" si="25"/>
        <v>0</v>
      </c>
    </row>
    <row r="33" spans="1:24" x14ac:dyDescent="0.3">
      <c r="A33" s="129"/>
      <c r="B33" s="12" t="s">
        <v>104</v>
      </c>
      <c r="C33" s="3">
        <v>63</v>
      </c>
      <c r="D33" s="1">
        <v>64.5</v>
      </c>
      <c r="E33" s="16">
        <f t="shared" ref="E33" si="28">ABS(C33-D33)/C33</f>
        <v>2.3809523809523808E-2</v>
      </c>
      <c r="F33" s="1" t="b">
        <f t="shared" ref="F33" si="29">IF(E33&lt;=0.25,TRUE,FALSE)</f>
        <v>1</v>
      </c>
      <c r="G33" s="2">
        <f>8*8</f>
        <v>64</v>
      </c>
      <c r="H33" s="17">
        <v>0.134722222</v>
      </c>
      <c r="I33" s="17">
        <f t="shared" si="26"/>
        <v>0.67361110999999996</v>
      </c>
      <c r="J33" s="2">
        <v>2</v>
      </c>
      <c r="K33" s="17">
        <f t="shared" si="27"/>
        <v>1.5873015873015872E-2</v>
      </c>
      <c r="L33" s="2" t="b">
        <f t="shared" si="17"/>
        <v>1</v>
      </c>
      <c r="M33" s="11">
        <v>26</v>
      </c>
      <c r="N33" s="18">
        <f t="shared" si="18"/>
        <v>0.58730158730158732</v>
      </c>
      <c r="O33" s="11" t="b">
        <f t="shared" si="19"/>
        <v>0</v>
      </c>
      <c r="P33" s="1">
        <v>52</v>
      </c>
      <c r="Q33" s="16">
        <f t="shared" si="20"/>
        <v>0.17460317460317459</v>
      </c>
      <c r="R33" s="1" t="b">
        <f t="shared" si="21"/>
        <v>1</v>
      </c>
      <c r="S33" s="4">
        <v>19</v>
      </c>
      <c r="T33" s="19">
        <f t="shared" si="22"/>
        <v>0.69841269841269837</v>
      </c>
      <c r="U33" s="4" t="b">
        <f t="shared" si="23"/>
        <v>0</v>
      </c>
      <c r="V33" s="5">
        <v>80</v>
      </c>
      <c r="W33" s="20">
        <f t="shared" si="24"/>
        <v>0.26984126984126983</v>
      </c>
      <c r="X33" s="5" t="b">
        <f t="shared" si="25"/>
        <v>0</v>
      </c>
    </row>
    <row r="34" spans="1:24" x14ac:dyDescent="0.3">
      <c r="A34" s="129"/>
      <c r="B34" s="12" t="s">
        <v>105</v>
      </c>
      <c r="C34" s="3">
        <v>77.75</v>
      </c>
      <c r="D34" s="1">
        <v>84</v>
      </c>
      <c r="E34" s="16">
        <f>ABS(C34-D34)/C34</f>
        <v>8.0385852090032156E-2</v>
      </c>
      <c r="F34" s="1" t="b">
        <f>IF(E34&lt;=0.25,TRUE,FALSE)</f>
        <v>1</v>
      </c>
      <c r="G34" s="2">
        <v>64</v>
      </c>
      <c r="H34" s="17">
        <v>0.10972222222222222</v>
      </c>
      <c r="I34" s="17">
        <f>H34*5</f>
        <v>0.54861111111111116</v>
      </c>
      <c r="J34" s="2">
        <v>3</v>
      </c>
      <c r="K34" s="17">
        <f>ABS(C34-G34)/C34</f>
        <v>0.17684887459807075</v>
      </c>
      <c r="L34" s="2" t="b">
        <f>IF(K34&lt;=0.25,TRUE,FALSE)</f>
        <v>1</v>
      </c>
      <c r="M34" s="11">
        <v>92</v>
      </c>
      <c r="N34" s="18">
        <f>ABS(C34-M34)/C34</f>
        <v>0.18327974276527331</v>
      </c>
      <c r="O34" s="11" t="b">
        <f>IF(N34&lt;=0.25,TRUE,FALSE)</f>
        <v>1</v>
      </c>
      <c r="P34" s="1">
        <v>130</v>
      </c>
      <c r="Q34" s="16">
        <f>ABS(C34-P34)/C34</f>
        <v>0.67202572347266876</v>
      </c>
      <c r="R34" s="1" t="b">
        <f>IF(Q34&lt;=0.25,TRUE,FALSE)</f>
        <v>0</v>
      </c>
      <c r="S34" s="4">
        <v>92</v>
      </c>
      <c r="T34" s="19">
        <f>ABS(C34-S34)/C34</f>
        <v>0.18327974276527331</v>
      </c>
      <c r="U34" s="4" t="b">
        <f>IF(T34&lt;=0.25,TRUE,FALSE)</f>
        <v>1</v>
      </c>
      <c r="V34" s="5">
        <v>264</v>
      </c>
      <c r="W34" s="20">
        <f>ABS(C34-V34)/C34</f>
        <v>2.395498392282958</v>
      </c>
      <c r="X34" s="5" t="b">
        <f>IF(W34&lt;=0.25,TRUE,FALSE)</f>
        <v>0</v>
      </c>
    </row>
    <row r="35" spans="1:24" x14ac:dyDescent="0.3">
      <c r="A35" s="129"/>
      <c r="B35" s="12" t="s">
        <v>131</v>
      </c>
      <c r="C35" s="3">
        <v>209.5</v>
      </c>
      <c r="D35" s="1">
        <v>178.75</v>
      </c>
      <c r="E35" s="16">
        <f>ABS(C35-D35)/C35</f>
        <v>0.1467780429594272</v>
      </c>
      <c r="F35" s="1" t="b">
        <f>IF(E35&lt;=0.25,TRUE,FALSE)</f>
        <v>1</v>
      </c>
      <c r="G35" s="2">
        <f>13*8</f>
        <v>104</v>
      </c>
      <c r="H35" s="17">
        <v>0.20916666666666667</v>
      </c>
      <c r="I35" s="17">
        <f>H35*5</f>
        <v>1.0458333333333334</v>
      </c>
      <c r="J35" s="2">
        <v>3</v>
      </c>
      <c r="K35" s="17">
        <f>ABS(C35-G35)/C35</f>
        <v>0.50357995226730312</v>
      </c>
      <c r="L35" s="2" t="b">
        <f>IF(K35&lt;=0.25,TRUE,FALSE)</f>
        <v>0</v>
      </c>
      <c r="M35" s="11">
        <v>121</v>
      </c>
      <c r="N35" s="18">
        <f>ABS(C35-M35)/C35</f>
        <v>0.42243436754176611</v>
      </c>
      <c r="O35" s="11" t="b">
        <f>IF(N35&lt;=0.25,TRUE,FALSE)</f>
        <v>0</v>
      </c>
      <c r="P35" s="1">
        <v>134</v>
      </c>
      <c r="Q35" s="16">
        <f>ABS(C35-P35)/C35</f>
        <v>0.36038186157517899</v>
      </c>
      <c r="R35" s="1" t="b">
        <f>IF(Q35&lt;=0.25,TRUE,FALSE)</f>
        <v>0</v>
      </c>
      <c r="S35" s="4">
        <v>48</v>
      </c>
      <c r="T35" s="19">
        <f>ABS(C35-S35)/C35</f>
        <v>0.77088305489260145</v>
      </c>
      <c r="U35" s="4" t="b">
        <f>IF(T35&lt;=0.25,TRUE,FALSE)</f>
        <v>0</v>
      </c>
      <c r="V35" s="5">
        <v>195</v>
      </c>
      <c r="W35" s="20">
        <f>ABS(C35-V35)/C35</f>
        <v>6.9212410501193311E-2</v>
      </c>
      <c r="X35" s="5" t="b">
        <f>IF(W35&lt;=0.25,TRUE,FALSE)</f>
        <v>1</v>
      </c>
    </row>
    <row r="36" spans="1:24" x14ac:dyDescent="0.3">
      <c r="A36" s="130"/>
      <c r="B36" s="12" t="s">
        <v>132</v>
      </c>
      <c r="C36" s="3">
        <v>13</v>
      </c>
      <c r="D36" s="1">
        <v>12</v>
      </c>
      <c r="E36" s="16">
        <f>ABS(C36-D36)/C36</f>
        <v>7.6923076923076927E-2</v>
      </c>
      <c r="F36" s="1" t="b">
        <f>IF(E36&lt;=0.25,TRUE,FALSE)</f>
        <v>1</v>
      </c>
      <c r="G36" s="2">
        <f>8*1</f>
        <v>8</v>
      </c>
      <c r="H36" s="17">
        <v>5.6111110999999998E-2</v>
      </c>
      <c r="I36" s="17">
        <f>H36*5</f>
        <v>0.28055555500000001</v>
      </c>
      <c r="J36" s="2">
        <v>2</v>
      </c>
      <c r="K36" s="17">
        <f>ABS(C36-G36)/C36</f>
        <v>0.38461538461538464</v>
      </c>
      <c r="L36" s="2" t="b">
        <f>IF(K36&lt;=0.25,TRUE,FALSE)</f>
        <v>0</v>
      </c>
      <c r="M36" s="11">
        <v>42</v>
      </c>
      <c r="N36" s="18">
        <f>ABS(C36-M36)/C36</f>
        <v>2.2307692307692308</v>
      </c>
      <c r="O36" s="11" t="b">
        <f>IF(N36&lt;=0.25,TRUE,FALSE)</f>
        <v>0</v>
      </c>
      <c r="P36" s="1">
        <v>52</v>
      </c>
      <c r="Q36" s="16">
        <f>ABS(C36-P36)/C36</f>
        <v>3</v>
      </c>
      <c r="R36" s="1" t="b">
        <f>IF(Q36&lt;=0.25,TRUE,FALSE)</f>
        <v>0</v>
      </c>
      <c r="S36" s="4">
        <v>26</v>
      </c>
      <c r="T36" s="19">
        <f>ABS(C36-S36)/C36</f>
        <v>1</v>
      </c>
      <c r="U36" s="4" t="b">
        <f>IF(T36&lt;=0.25,TRUE,FALSE)</f>
        <v>0</v>
      </c>
      <c r="V36" s="5">
        <v>18</v>
      </c>
      <c r="W36" s="20">
        <f>ABS(C36-V36)/C36</f>
        <v>0.38461538461538464</v>
      </c>
      <c r="X36" s="5" t="b">
        <f>IF(W36&lt;=0.25,TRUE,FALSE)</f>
        <v>0</v>
      </c>
    </row>
    <row r="37" spans="1:24" x14ac:dyDescent="0.3">
      <c r="A37" s="14" t="s">
        <v>68</v>
      </c>
      <c r="B37" s="12"/>
      <c r="C37" s="12">
        <f>SUM(C25:C36)</f>
        <v>1142.5999999999999</v>
      </c>
      <c r="D37" s="6">
        <f>SUM(D25:D36)</f>
        <v>1055.25</v>
      </c>
      <c r="E37" s="26">
        <f>AVERAGE(E25:E36)</f>
        <v>0.22107725345178528</v>
      </c>
      <c r="F37" s="26">
        <f>COUNTIF(F25:F36,TRUE)/ROWS(B25:B36)</f>
        <v>0.5</v>
      </c>
      <c r="G37" s="7">
        <f>SUM(G25:G36)</f>
        <v>864</v>
      </c>
      <c r="H37" s="27">
        <f>SUM(H25:H36)</f>
        <v>1.4880555555555559</v>
      </c>
      <c r="I37" s="27">
        <f>SUM(I25:I36)</f>
        <v>7.4402777777777782</v>
      </c>
      <c r="J37" s="7">
        <f>SUM(J25:J36)</f>
        <v>28</v>
      </c>
      <c r="K37" s="27">
        <f>AVERAGE(K25:K36)</f>
        <v>0.32337149293924905</v>
      </c>
      <c r="L37" s="27">
        <f>COUNTIF(L25:L36, TRUE)/ROWS(B25:B36)</f>
        <v>0.58333333333333337</v>
      </c>
      <c r="M37" s="8">
        <f>SUM(M25:M36)</f>
        <v>1023</v>
      </c>
      <c r="N37" s="28">
        <f>AVERAGE(N25:N36)</f>
        <v>0.60185136196045042</v>
      </c>
      <c r="O37" s="28">
        <f>COUNTIF(O25:O36, TRUE)/ROWS(B25:B36)</f>
        <v>0.33333333333333331</v>
      </c>
      <c r="P37" s="6">
        <f>SUM(P25:P36)</f>
        <v>1352</v>
      </c>
      <c r="Q37" s="26">
        <f>AVERAGE(Q25:Q36)</f>
        <v>1.1347933766060243</v>
      </c>
      <c r="R37" s="26">
        <f>COUNTIF(R25:R36, TRUE)/ROWS(B25:B36)</f>
        <v>0.25</v>
      </c>
      <c r="S37" s="9">
        <f>SUM(S25:S36)</f>
        <v>967</v>
      </c>
      <c r="T37" s="29">
        <f>AVERAGE(T25:T36)</f>
        <v>0.91711212477512871</v>
      </c>
      <c r="U37" s="29">
        <f>COUNTIF(U25:U36, TRUE)/ROWS(B25:B36)</f>
        <v>8.3333333333333329E-2</v>
      </c>
      <c r="V37" s="10">
        <f>SUM(V25:V36)</f>
        <v>2863</v>
      </c>
      <c r="W37" s="30">
        <f>AVERAGE(W25:W36)</f>
        <v>1.900645740709284</v>
      </c>
      <c r="X37" s="30">
        <f>COUNTIF(X25:X36, TRUE)/ROWS(B25:B36)</f>
        <v>8.3333333333333329E-2</v>
      </c>
    </row>
    <row r="38" spans="1:24" x14ac:dyDescent="0.3">
      <c r="A38" s="128" t="s">
        <v>86</v>
      </c>
      <c r="B38" s="12" t="s">
        <v>76</v>
      </c>
      <c r="C38" s="3">
        <v>61.5</v>
      </c>
      <c r="D38" s="1">
        <v>64</v>
      </c>
      <c r="E38" s="16">
        <f t="shared" si="0"/>
        <v>4.065040650406504E-2</v>
      </c>
      <c r="F38" s="1" t="b">
        <f>IF(E38&lt;=0.25,TRUE,FALSE)</f>
        <v>1</v>
      </c>
      <c r="G38" s="2">
        <v>104</v>
      </c>
      <c r="H38" s="17">
        <v>0.11805555600000001</v>
      </c>
      <c r="I38" s="17">
        <f>H38*5</f>
        <v>0.59027778000000009</v>
      </c>
      <c r="J38" s="2">
        <v>2</v>
      </c>
      <c r="K38" s="17">
        <f t="shared" si="3"/>
        <v>0.69105691056910568</v>
      </c>
      <c r="L38" s="2" t="b">
        <f>IF(K38&lt;=0.25,TRUE,FALSE)</f>
        <v>0</v>
      </c>
      <c r="M38" s="11">
        <v>73</v>
      </c>
      <c r="N38" s="18">
        <f t="shared" si="5"/>
        <v>0.18699186991869918</v>
      </c>
      <c r="O38" s="11" t="b">
        <f t="shared" ref="O38:O47" si="30">IF(N38&lt;=0.25,TRUE,FALSE)</f>
        <v>1</v>
      </c>
      <c r="P38" s="1">
        <v>42</v>
      </c>
      <c r="Q38" s="16">
        <f t="shared" si="6"/>
        <v>0.31707317073170732</v>
      </c>
      <c r="R38" s="1" t="b">
        <f t="shared" ref="R38:R47" si="31">IF(Q38&lt;=0.25,TRUE,FALSE)</f>
        <v>0</v>
      </c>
      <c r="S38" s="4">
        <v>31</v>
      </c>
      <c r="T38" s="19">
        <f t="shared" si="7"/>
        <v>0.49593495934959347</v>
      </c>
      <c r="U38" s="4" t="b">
        <f t="shared" ref="U38:U47" si="32">IF(T38&lt;=0.25,TRUE,FALSE)</f>
        <v>0</v>
      </c>
      <c r="V38" s="5">
        <v>92</v>
      </c>
      <c r="W38" s="20">
        <f t="shared" si="8"/>
        <v>0.49593495934959347</v>
      </c>
      <c r="X38" s="5" t="b">
        <f t="shared" ref="X38:X47" si="33">IF(W38&lt;=0.25,TRUE,FALSE)</f>
        <v>0</v>
      </c>
    </row>
    <row r="39" spans="1:24" x14ac:dyDescent="0.3">
      <c r="A39" s="129"/>
      <c r="B39" s="12" t="s">
        <v>77</v>
      </c>
      <c r="C39" s="3">
        <v>50.25</v>
      </c>
      <c r="D39" s="1">
        <v>64</v>
      </c>
      <c r="E39" s="16">
        <f t="shared" si="0"/>
        <v>0.27363184079601988</v>
      </c>
      <c r="F39" s="1" t="b">
        <f>IF(E39&lt;=0.25,TRUE,FALSE)</f>
        <v>0</v>
      </c>
      <c r="G39" s="2">
        <v>64</v>
      </c>
      <c r="H39" s="17">
        <v>0.108611111</v>
      </c>
      <c r="I39" s="17">
        <f>H39*5</f>
        <v>0.54305555500000002</v>
      </c>
      <c r="J39" s="2">
        <v>2</v>
      </c>
      <c r="K39" s="17">
        <f t="shared" si="3"/>
        <v>0.27363184079601988</v>
      </c>
      <c r="L39" s="2" t="b">
        <f>IF(K39&lt;=0.25,TRUE,FALSE)</f>
        <v>0</v>
      </c>
      <c r="M39" s="11">
        <v>92</v>
      </c>
      <c r="N39" s="18">
        <f t="shared" si="5"/>
        <v>0.8308457711442786</v>
      </c>
      <c r="O39" s="11" t="b">
        <f t="shared" si="30"/>
        <v>0</v>
      </c>
      <c r="P39" s="1">
        <v>50</v>
      </c>
      <c r="Q39" s="16">
        <f t="shared" si="6"/>
        <v>4.9751243781094526E-3</v>
      </c>
      <c r="R39" s="1" t="b">
        <f t="shared" si="31"/>
        <v>1</v>
      </c>
      <c r="S39" s="4">
        <v>75</v>
      </c>
      <c r="T39" s="19">
        <f t="shared" si="7"/>
        <v>0.4925373134328358</v>
      </c>
      <c r="U39" s="4" t="b">
        <f t="shared" si="32"/>
        <v>0</v>
      </c>
      <c r="V39" s="5">
        <v>86</v>
      </c>
      <c r="W39" s="20">
        <f t="shared" si="8"/>
        <v>0.71144278606965172</v>
      </c>
      <c r="X39" s="5" t="b">
        <f t="shared" si="33"/>
        <v>0</v>
      </c>
    </row>
    <row r="40" spans="1:24" x14ac:dyDescent="0.3">
      <c r="A40" s="129"/>
      <c r="B40" s="12" t="s">
        <v>78</v>
      </c>
      <c r="C40" s="3">
        <v>139.75</v>
      </c>
      <c r="D40" s="1">
        <v>126</v>
      </c>
      <c r="E40" s="16">
        <f t="shared" si="0"/>
        <v>9.838998211091235E-2</v>
      </c>
      <c r="F40" s="1" t="b">
        <f>IF(E40&lt;=0.25,TRUE,FALSE)</f>
        <v>1</v>
      </c>
      <c r="G40" s="2">
        <v>104</v>
      </c>
      <c r="H40" s="17">
        <v>0.109444444</v>
      </c>
      <c r="I40" s="17">
        <f>H40*5</f>
        <v>0.54722221999999998</v>
      </c>
      <c r="J40" s="2">
        <v>3</v>
      </c>
      <c r="K40" s="17">
        <f t="shared" si="3"/>
        <v>0.2558139534883721</v>
      </c>
      <c r="L40" s="2" t="b">
        <f>IF(K40&lt;=0.25,TRUE,FALSE)</f>
        <v>0</v>
      </c>
      <c r="M40" s="11">
        <v>124</v>
      </c>
      <c r="N40" s="18">
        <f t="shared" si="5"/>
        <v>0.11270125223613596</v>
      </c>
      <c r="O40" s="11" t="b">
        <f t="shared" si="30"/>
        <v>1</v>
      </c>
      <c r="P40" s="1">
        <v>50</v>
      </c>
      <c r="Q40" s="16">
        <f t="shared" si="6"/>
        <v>0.64221824686940965</v>
      </c>
      <c r="R40" s="1" t="b">
        <f t="shared" si="31"/>
        <v>0</v>
      </c>
      <c r="S40" s="4">
        <v>109</v>
      </c>
      <c r="T40" s="19">
        <f t="shared" si="7"/>
        <v>0.22003577817531306</v>
      </c>
      <c r="U40" s="4" t="b">
        <f t="shared" si="32"/>
        <v>1</v>
      </c>
      <c r="V40" s="5">
        <v>120</v>
      </c>
      <c r="W40" s="20">
        <f t="shared" si="8"/>
        <v>0.14132379248658319</v>
      </c>
      <c r="X40" s="5" t="b">
        <f t="shared" si="33"/>
        <v>1</v>
      </c>
    </row>
    <row r="41" spans="1:24" x14ac:dyDescent="0.3">
      <c r="A41" s="129"/>
      <c r="B41" s="12" t="s">
        <v>79</v>
      </c>
      <c r="C41" s="3">
        <v>35.25</v>
      </c>
      <c r="D41" s="1">
        <v>36</v>
      </c>
      <c r="E41" s="16">
        <f t="shared" si="0"/>
        <v>2.1276595744680851E-2</v>
      </c>
      <c r="F41" s="1" t="b">
        <f>IF(E41&lt;=0.25,TRUE,FALSE)</f>
        <v>1</v>
      </c>
      <c r="G41" s="2">
        <v>40</v>
      </c>
      <c r="H41" s="17">
        <v>0.09</v>
      </c>
      <c r="I41" s="17">
        <f>H41*5</f>
        <v>0.44999999999999996</v>
      </c>
      <c r="J41" s="2">
        <v>2</v>
      </c>
      <c r="K41" s="17">
        <f t="shared" si="3"/>
        <v>0.13475177304964539</v>
      </c>
      <c r="L41" s="2" t="b">
        <f>IF(K41&lt;=0.25,TRUE,FALSE)</f>
        <v>1</v>
      </c>
      <c r="M41" s="11">
        <v>116</v>
      </c>
      <c r="N41" s="18">
        <f t="shared" si="5"/>
        <v>2.2907801418439715</v>
      </c>
      <c r="O41" s="11" t="b">
        <f t="shared" si="30"/>
        <v>0</v>
      </c>
      <c r="P41" s="1">
        <v>56</v>
      </c>
      <c r="Q41" s="16">
        <f t="shared" si="6"/>
        <v>0.58865248226950351</v>
      </c>
      <c r="R41" s="1" t="b">
        <f t="shared" si="31"/>
        <v>0</v>
      </c>
      <c r="S41" s="4">
        <v>84</v>
      </c>
      <c r="T41" s="19">
        <f t="shared" si="7"/>
        <v>1.3829787234042554</v>
      </c>
      <c r="U41" s="4" t="b">
        <f t="shared" si="32"/>
        <v>0</v>
      </c>
      <c r="V41" s="5">
        <v>72</v>
      </c>
      <c r="W41" s="20">
        <f t="shared" si="8"/>
        <v>1.0425531914893618</v>
      </c>
      <c r="X41" s="5" t="b">
        <f t="shared" si="33"/>
        <v>0</v>
      </c>
    </row>
    <row r="42" spans="1:24" x14ac:dyDescent="0.3">
      <c r="A42" s="129"/>
      <c r="B42" s="12" t="s">
        <v>80</v>
      </c>
      <c r="C42" s="3">
        <v>58.25</v>
      </c>
      <c r="D42" s="1">
        <v>72</v>
      </c>
      <c r="E42" s="16">
        <f t="shared" si="0"/>
        <v>0.23605150214592274</v>
      </c>
      <c r="F42" s="1" t="b">
        <f>IF(E42&lt;=0.25,TRUE,FALSE)</f>
        <v>1</v>
      </c>
      <c r="G42" s="2">
        <v>40</v>
      </c>
      <c r="H42" s="17">
        <v>0.106388889</v>
      </c>
      <c r="I42" s="17">
        <f>H42*5</f>
        <v>0.53194444500000004</v>
      </c>
      <c r="J42" s="2">
        <v>2</v>
      </c>
      <c r="K42" s="17">
        <f t="shared" si="3"/>
        <v>0.31330472103004292</v>
      </c>
      <c r="L42" s="2" t="b">
        <f>IF(K42&lt;=0.25,TRUE,FALSE)</f>
        <v>0</v>
      </c>
      <c r="M42" s="11">
        <v>104</v>
      </c>
      <c r="N42" s="18">
        <f t="shared" si="5"/>
        <v>0.78540772532188841</v>
      </c>
      <c r="O42" s="11" t="b">
        <f t="shared" si="30"/>
        <v>0</v>
      </c>
      <c r="P42" s="1">
        <v>42</v>
      </c>
      <c r="Q42" s="16">
        <f t="shared" si="6"/>
        <v>0.27896995708154504</v>
      </c>
      <c r="R42" s="1" t="b">
        <f t="shared" si="31"/>
        <v>0</v>
      </c>
      <c r="S42" s="4">
        <v>26</v>
      </c>
      <c r="T42" s="19">
        <f t="shared" si="7"/>
        <v>0.55364806866952787</v>
      </c>
      <c r="U42" s="4" t="b">
        <f t="shared" si="32"/>
        <v>0</v>
      </c>
      <c r="V42" s="5">
        <v>88</v>
      </c>
      <c r="W42" s="20">
        <f t="shared" si="8"/>
        <v>0.51072961373390557</v>
      </c>
      <c r="X42" s="5" t="b">
        <f t="shared" si="33"/>
        <v>0</v>
      </c>
    </row>
    <row r="43" spans="1:24" x14ac:dyDescent="0.3">
      <c r="A43" s="129"/>
      <c r="B43" s="12" t="s">
        <v>81</v>
      </c>
      <c r="C43" s="3">
        <v>36.25</v>
      </c>
      <c r="D43" s="1">
        <v>48</v>
      </c>
      <c r="E43" s="16">
        <f t="shared" si="0"/>
        <v>0.32413793103448274</v>
      </c>
      <c r="F43" s="1" t="b">
        <f t="shared" ref="F43:F47" si="34">IF(E43&lt;=0.25,TRUE,FALSE)</f>
        <v>0</v>
      </c>
      <c r="G43" s="2">
        <v>40</v>
      </c>
      <c r="H43" s="17">
        <v>7.4166667000000006E-2</v>
      </c>
      <c r="I43" s="17">
        <f t="shared" ref="I43:I47" si="35">H43*5</f>
        <v>0.37083333500000004</v>
      </c>
      <c r="J43" s="2">
        <v>2</v>
      </c>
      <c r="K43" s="17">
        <f t="shared" si="3"/>
        <v>0.10344827586206896</v>
      </c>
      <c r="L43" s="2" t="b">
        <f t="shared" ref="L43:L47" si="36">IF(K43&lt;=0.25,TRUE,FALSE)</f>
        <v>1</v>
      </c>
      <c r="M43" s="11">
        <v>85</v>
      </c>
      <c r="N43" s="18">
        <f t="shared" si="5"/>
        <v>1.3448275862068966</v>
      </c>
      <c r="O43" s="11" t="b">
        <f t="shared" si="30"/>
        <v>0</v>
      </c>
      <c r="P43" s="1">
        <v>46</v>
      </c>
      <c r="Q43" s="16">
        <f t="shared" si="6"/>
        <v>0.26896551724137929</v>
      </c>
      <c r="R43" s="1" t="b">
        <f t="shared" si="31"/>
        <v>0</v>
      </c>
      <c r="S43" s="4">
        <v>53</v>
      </c>
      <c r="T43" s="19">
        <f t="shared" si="7"/>
        <v>0.46206896551724136</v>
      </c>
      <c r="U43" s="4" t="b">
        <f t="shared" si="32"/>
        <v>0</v>
      </c>
      <c r="V43" s="5">
        <v>80</v>
      </c>
      <c r="W43" s="20">
        <f t="shared" si="8"/>
        <v>1.2068965517241379</v>
      </c>
      <c r="X43" s="5" t="b">
        <f t="shared" si="33"/>
        <v>0</v>
      </c>
    </row>
    <row r="44" spans="1:24" x14ac:dyDescent="0.3">
      <c r="A44" s="129"/>
      <c r="B44" s="12" t="s">
        <v>82</v>
      </c>
      <c r="C44" s="3">
        <v>32.5</v>
      </c>
      <c r="D44" s="1">
        <v>48</v>
      </c>
      <c r="E44" s="16">
        <f t="shared" si="0"/>
        <v>0.47692307692307695</v>
      </c>
      <c r="F44" s="1" t="b">
        <f t="shared" si="34"/>
        <v>0</v>
      </c>
      <c r="G44" s="2">
        <v>24</v>
      </c>
      <c r="H44" s="17">
        <v>7.5277778000000004E-2</v>
      </c>
      <c r="I44" s="17">
        <f t="shared" si="35"/>
        <v>0.37638889000000003</v>
      </c>
      <c r="J44" s="2">
        <v>2</v>
      </c>
      <c r="K44" s="17">
        <f t="shared" si="3"/>
        <v>0.26153846153846155</v>
      </c>
      <c r="L44" s="2" t="b">
        <f t="shared" si="36"/>
        <v>0</v>
      </c>
      <c r="M44" s="11">
        <v>78</v>
      </c>
      <c r="N44" s="18">
        <f t="shared" si="5"/>
        <v>1.4</v>
      </c>
      <c r="O44" s="11" t="b">
        <f t="shared" si="30"/>
        <v>0</v>
      </c>
      <c r="P44" s="1">
        <v>42</v>
      </c>
      <c r="Q44" s="16">
        <f t="shared" si="6"/>
        <v>0.29230769230769232</v>
      </c>
      <c r="R44" s="1" t="b">
        <f t="shared" si="31"/>
        <v>0</v>
      </c>
      <c r="S44" s="4">
        <v>90</v>
      </c>
      <c r="T44" s="19">
        <f t="shared" si="7"/>
        <v>1.7692307692307692</v>
      </c>
      <c r="U44" s="4" t="b">
        <f t="shared" si="32"/>
        <v>0</v>
      </c>
      <c r="V44" s="5">
        <v>96</v>
      </c>
      <c r="W44" s="20">
        <f t="shared" si="8"/>
        <v>1.9538461538461538</v>
      </c>
      <c r="X44" s="5" t="b">
        <f t="shared" si="33"/>
        <v>0</v>
      </c>
    </row>
    <row r="45" spans="1:24" x14ac:dyDescent="0.3">
      <c r="A45" s="129"/>
      <c r="B45" s="12" t="s">
        <v>83</v>
      </c>
      <c r="C45" s="3">
        <v>15.5</v>
      </c>
      <c r="D45" s="1">
        <v>11</v>
      </c>
      <c r="E45" s="16">
        <f t="shared" si="0"/>
        <v>0.29032258064516131</v>
      </c>
      <c r="F45" s="1" t="b">
        <f t="shared" si="34"/>
        <v>0</v>
      </c>
      <c r="G45" s="2">
        <v>40</v>
      </c>
      <c r="H45" s="17">
        <v>0.11694444399999999</v>
      </c>
      <c r="I45" s="17">
        <f t="shared" si="35"/>
        <v>0.58472221999999996</v>
      </c>
      <c r="J45" s="2">
        <v>2</v>
      </c>
      <c r="K45" s="17">
        <f t="shared" si="3"/>
        <v>1.5806451612903225</v>
      </c>
      <c r="L45" s="2" t="b">
        <f t="shared" si="36"/>
        <v>0</v>
      </c>
      <c r="M45" s="11">
        <v>84</v>
      </c>
      <c r="N45" s="18">
        <f t="shared" si="5"/>
        <v>4.419354838709677</v>
      </c>
      <c r="O45" s="11" t="b">
        <f t="shared" si="30"/>
        <v>0</v>
      </c>
      <c r="P45" s="1">
        <v>52</v>
      </c>
      <c r="Q45" s="16">
        <f t="shared" si="6"/>
        <v>2.3548387096774195</v>
      </c>
      <c r="R45" s="1" t="b">
        <f t="shared" si="31"/>
        <v>0</v>
      </c>
      <c r="S45" s="4">
        <v>81</v>
      </c>
      <c r="T45" s="19">
        <f t="shared" si="7"/>
        <v>4.225806451612903</v>
      </c>
      <c r="U45" s="4" t="b">
        <f t="shared" si="32"/>
        <v>0</v>
      </c>
      <c r="V45" s="5">
        <v>92</v>
      </c>
      <c r="W45" s="20">
        <f t="shared" si="8"/>
        <v>4.935483870967742</v>
      </c>
      <c r="X45" s="5" t="b">
        <f t="shared" si="33"/>
        <v>0</v>
      </c>
    </row>
    <row r="46" spans="1:24" x14ac:dyDescent="0.3">
      <c r="A46" s="129"/>
      <c r="B46" s="12" t="s">
        <v>84</v>
      </c>
      <c r="C46" s="3">
        <v>11.25</v>
      </c>
      <c r="D46" s="1">
        <v>11</v>
      </c>
      <c r="E46" s="16">
        <f t="shared" si="0"/>
        <v>2.2222222222222223E-2</v>
      </c>
      <c r="F46" s="1" t="b">
        <f t="shared" si="34"/>
        <v>1</v>
      </c>
      <c r="G46" s="2">
        <v>40</v>
      </c>
      <c r="H46" s="17">
        <v>9.2499999999999999E-2</v>
      </c>
      <c r="I46" s="17">
        <f t="shared" si="35"/>
        <v>0.46250000000000002</v>
      </c>
      <c r="J46" s="2">
        <v>2</v>
      </c>
      <c r="K46" s="17">
        <f t="shared" si="3"/>
        <v>2.5555555555555554</v>
      </c>
      <c r="L46" s="2" t="b">
        <f t="shared" si="36"/>
        <v>0</v>
      </c>
      <c r="M46" s="11">
        <v>152</v>
      </c>
      <c r="N46" s="18">
        <f t="shared" si="5"/>
        <v>12.511111111111111</v>
      </c>
      <c r="O46" s="11" t="b">
        <f t="shared" si="30"/>
        <v>0</v>
      </c>
      <c r="P46" s="1">
        <v>42</v>
      </c>
      <c r="Q46" s="16">
        <f t="shared" si="6"/>
        <v>2.7333333333333334</v>
      </c>
      <c r="R46" s="1" t="b">
        <f t="shared" si="31"/>
        <v>0</v>
      </c>
      <c r="S46" s="4">
        <v>96</v>
      </c>
      <c r="T46" s="19">
        <f t="shared" si="7"/>
        <v>7.5333333333333332</v>
      </c>
      <c r="U46" s="4" t="b">
        <f t="shared" si="32"/>
        <v>0</v>
      </c>
      <c r="V46" s="5">
        <v>150</v>
      </c>
      <c r="W46" s="20">
        <f t="shared" si="8"/>
        <v>12.333333333333334</v>
      </c>
      <c r="X46" s="5" t="b">
        <f t="shared" si="33"/>
        <v>0</v>
      </c>
    </row>
    <row r="47" spans="1:24" x14ac:dyDescent="0.3">
      <c r="A47" s="130"/>
      <c r="B47" s="12" t="s">
        <v>85</v>
      </c>
      <c r="C47" s="3">
        <v>32.25</v>
      </c>
      <c r="D47" s="1">
        <v>17</v>
      </c>
      <c r="E47" s="16">
        <f t="shared" si="0"/>
        <v>0.47286821705426357</v>
      </c>
      <c r="F47" s="1" t="b">
        <f t="shared" si="34"/>
        <v>0</v>
      </c>
      <c r="G47" s="2">
        <v>104</v>
      </c>
      <c r="H47" s="17">
        <v>8.5277777999999999E-2</v>
      </c>
      <c r="I47" s="17">
        <f t="shared" si="35"/>
        <v>0.42638889000000002</v>
      </c>
      <c r="J47" s="2">
        <v>2</v>
      </c>
      <c r="K47" s="17">
        <f t="shared" si="3"/>
        <v>2.2248062015503876</v>
      </c>
      <c r="L47" s="2" t="b">
        <f t="shared" si="36"/>
        <v>0</v>
      </c>
      <c r="M47" s="52">
        <v>116</v>
      </c>
      <c r="N47" s="53">
        <f t="shared" si="5"/>
        <v>2.5968992248062017</v>
      </c>
      <c r="O47" s="52" t="b">
        <f t="shared" si="30"/>
        <v>0</v>
      </c>
      <c r="P47" s="1">
        <v>72</v>
      </c>
      <c r="Q47" s="16">
        <f t="shared" si="6"/>
        <v>1.2325581395348837</v>
      </c>
      <c r="R47" s="1" t="b">
        <f t="shared" si="31"/>
        <v>0</v>
      </c>
      <c r="S47" s="4">
        <v>61</v>
      </c>
      <c r="T47" s="19">
        <f t="shared" si="7"/>
        <v>0.89147286821705429</v>
      </c>
      <c r="U47" s="4" t="b">
        <f t="shared" si="32"/>
        <v>0</v>
      </c>
      <c r="V47" s="5">
        <v>88</v>
      </c>
      <c r="W47" s="20">
        <f t="shared" si="8"/>
        <v>1.7286821705426356</v>
      </c>
      <c r="X47" s="5" t="b">
        <f t="shared" si="33"/>
        <v>0</v>
      </c>
    </row>
    <row r="48" spans="1:24" x14ac:dyDescent="0.3">
      <c r="A48" s="51" t="s">
        <v>68</v>
      </c>
      <c r="B48" s="23"/>
      <c r="C48" s="23">
        <f>SUM(C38:C47)</f>
        <v>472.75</v>
      </c>
      <c r="D48" s="33">
        <f>SUM(D38:D47)</f>
        <v>497</v>
      </c>
      <c r="E48" s="37">
        <f>AVERAGE(E38:E47)</f>
        <v>0.22564743551808078</v>
      </c>
      <c r="F48" s="37">
        <f>COUNTIF(F38:F47, TRUE)/ROWS(B38:B47)</f>
        <v>0.5</v>
      </c>
      <c r="G48" s="34">
        <f>SUM(G38:G47)</f>
        <v>600</v>
      </c>
      <c r="H48" s="38">
        <f>SUM(H38:H47)</f>
        <v>0.97666666700000004</v>
      </c>
      <c r="I48" s="38">
        <f>SUM(I38:I47)</f>
        <v>4.8833333350000006</v>
      </c>
      <c r="J48" s="34">
        <f>SUM(J38:J47)</f>
        <v>21</v>
      </c>
      <c r="K48" s="38">
        <f>AVERAGE(K38:K47)</f>
        <v>0.83945528547299819</v>
      </c>
      <c r="L48" s="38">
        <f>COUNTIF(L38:L47, TRUE)/ROWS(B38:B47)</f>
        <v>0.2</v>
      </c>
      <c r="M48" s="54">
        <f>SUM(M38:M47)</f>
        <v>1024</v>
      </c>
      <c r="N48" s="55">
        <f>AVERAGE(N38:N47)</f>
        <v>2.6478919521298856</v>
      </c>
      <c r="O48" s="55">
        <f>COUNTIF(O38:O47, TRUE)/ROWS(B38:B47)</f>
        <v>0.2</v>
      </c>
      <c r="P48" s="33">
        <f>SUM(P38:P47)</f>
        <v>494</v>
      </c>
      <c r="Q48" s="37">
        <f>AVERAGE(Q38:Q47)</f>
        <v>0.87138923734249829</v>
      </c>
      <c r="R48" s="37">
        <f>COUNTIF(R38:R47, TRUE)/ROWS(B38:B47)</f>
        <v>0.1</v>
      </c>
      <c r="S48" s="35">
        <f>SUM(S38:S47)</f>
        <v>706</v>
      </c>
      <c r="T48" s="39">
        <f>AVERAGE(T38:T47)</f>
        <v>1.8027047230942823</v>
      </c>
      <c r="U48" s="39">
        <f>COUNTIF(U38:U47, TRUE)/ROWS(B38:B47)</f>
        <v>0.1</v>
      </c>
      <c r="V48" s="36">
        <f>SUM(V38:V47)</f>
        <v>964</v>
      </c>
      <c r="W48" s="40">
        <f>AVERAGE(W38:W47)</f>
        <v>2.5060226423543104</v>
      </c>
      <c r="X48" s="40">
        <f>COUNTIF(X38:X47, TRUE)/ROWS(B38:B47)</f>
        <v>0.1</v>
      </c>
    </row>
    <row r="49" spans="1:24" x14ac:dyDescent="0.3">
      <c r="A49" s="128" t="s">
        <v>117</v>
      </c>
      <c r="B49" s="23" t="s">
        <v>118</v>
      </c>
      <c r="C49" s="57">
        <v>85</v>
      </c>
      <c r="D49" s="59">
        <v>80</v>
      </c>
      <c r="E49" s="60">
        <f>ABS(C49-D49)/C49</f>
        <v>5.8823529411764705E-2</v>
      </c>
      <c r="F49" s="61" t="b">
        <f>IF(E49&lt;=0.25,TRUE,FALSE)</f>
        <v>1</v>
      </c>
      <c r="G49" s="58">
        <f>13*8</f>
        <v>104</v>
      </c>
      <c r="H49" s="62">
        <v>0.19138888888888889</v>
      </c>
      <c r="I49" s="62">
        <f>H49*5</f>
        <v>0.95694444444444438</v>
      </c>
      <c r="J49" s="58">
        <v>3</v>
      </c>
      <c r="K49" s="62">
        <f>ABS(C49-G49)/C49</f>
        <v>0.22352941176470589</v>
      </c>
      <c r="L49" s="63" t="b">
        <f>IF(K49&lt;=0.25,TRUE,FALSE)</f>
        <v>1</v>
      </c>
      <c r="M49" s="64">
        <v>130</v>
      </c>
      <c r="N49" s="65">
        <f>ABS(C49-M49)/C49</f>
        <v>0.52941176470588236</v>
      </c>
      <c r="O49" s="66" t="b">
        <f>IF(N49&lt;=0.25,TRUE,FALSE)</f>
        <v>0</v>
      </c>
      <c r="P49" s="59">
        <v>104</v>
      </c>
      <c r="Q49" s="60">
        <f>ABS(C49-P49)/C49</f>
        <v>0.22352941176470589</v>
      </c>
      <c r="R49" s="61" t="b">
        <f>IF(Q49&lt;=0.25,TRUE,FALSE)</f>
        <v>1</v>
      </c>
      <c r="S49" s="67">
        <v>70</v>
      </c>
      <c r="T49" s="68">
        <f>ABS(C49-S49)/$C$49</f>
        <v>0.17647058823529413</v>
      </c>
      <c r="U49" s="69" t="b">
        <f>IF(T49&lt;=0.25,TRUE,FALSE)</f>
        <v>1</v>
      </c>
      <c r="V49" s="70">
        <v>160</v>
      </c>
      <c r="W49" s="71">
        <f>ABS(C49-V49)/C49</f>
        <v>0.88235294117647056</v>
      </c>
      <c r="X49" s="72" t="b">
        <f>IF(W49&lt;=0.25,TRUE,FALSE)</f>
        <v>0</v>
      </c>
    </row>
    <row r="50" spans="1:24" x14ac:dyDescent="0.3">
      <c r="A50" s="129"/>
      <c r="B50" s="23" t="s">
        <v>119</v>
      </c>
      <c r="C50" s="57">
        <v>89</v>
      </c>
      <c r="D50" s="59">
        <v>104</v>
      </c>
      <c r="E50" s="60">
        <f t="shared" ref="E50:E54" si="37">ABS(C50-D50)/C50</f>
        <v>0.16853932584269662</v>
      </c>
      <c r="F50" s="61" t="b">
        <f t="shared" ref="F50:F56" si="38">IF(E50&lt;=0.25,TRUE,FALSE)</f>
        <v>1</v>
      </c>
      <c r="G50" s="58">
        <f>13*8</f>
        <v>104</v>
      </c>
      <c r="H50" s="62">
        <v>0.13638888900000001</v>
      </c>
      <c r="I50" s="62">
        <f t="shared" ref="I50:I56" si="39">H50*5</f>
        <v>0.68194444500000007</v>
      </c>
      <c r="J50" s="58">
        <v>2</v>
      </c>
      <c r="K50" s="62">
        <f t="shared" ref="K50:K56" si="40">ABS(C50-G50)/C50</f>
        <v>0.16853932584269662</v>
      </c>
      <c r="L50" s="63" t="b">
        <f t="shared" ref="L50:L56" si="41">IF(K50&lt;=0.25,TRUE,FALSE)</f>
        <v>1</v>
      </c>
      <c r="M50" s="64">
        <v>96</v>
      </c>
      <c r="N50" s="65">
        <f>ABS(C50-M50)/C50</f>
        <v>7.8651685393258425E-2</v>
      </c>
      <c r="O50" s="66" t="b">
        <f t="shared" ref="O50:O56" si="42">IF(N50&lt;=0.25,TRUE,FALSE)</f>
        <v>1</v>
      </c>
      <c r="P50" s="59">
        <v>64</v>
      </c>
      <c r="Q50" s="60">
        <f t="shared" ref="Q50:Q56" si="43">ABS(C50-P50)/C50</f>
        <v>0.2808988764044944</v>
      </c>
      <c r="R50" s="61" t="b">
        <f t="shared" ref="R50:R56" si="44">IF(Q50&lt;=0.25,TRUE,FALSE)</f>
        <v>0</v>
      </c>
      <c r="S50" s="67">
        <v>57</v>
      </c>
      <c r="T50" s="68">
        <f t="shared" ref="T50:T56" si="45">ABS(C50-S50)/$C$49</f>
        <v>0.37647058823529411</v>
      </c>
      <c r="U50" s="69" t="b">
        <f t="shared" ref="U50:U56" si="46">IF(T50&lt;=0.25,TRUE,FALSE)</f>
        <v>0</v>
      </c>
      <c r="V50" s="70">
        <v>104</v>
      </c>
      <c r="W50" s="71">
        <f t="shared" ref="W50:W56" si="47">ABS(C50-V50)/C50</f>
        <v>0.16853932584269662</v>
      </c>
      <c r="X50" s="72" t="b">
        <f t="shared" ref="X50:X56" si="48">IF(W50&lt;=0.25,TRUE,FALSE)</f>
        <v>1</v>
      </c>
    </row>
    <row r="51" spans="1:24" x14ac:dyDescent="0.3">
      <c r="A51" s="129"/>
      <c r="B51" s="23" t="s">
        <v>120</v>
      </c>
      <c r="C51" s="57">
        <v>6.5</v>
      </c>
      <c r="D51" s="59">
        <v>12</v>
      </c>
      <c r="E51" s="60">
        <f t="shared" si="37"/>
        <v>0.84615384615384615</v>
      </c>
      <c r="F51" s="61" t="b">
        <f t="shared" si="38"/>
        <v>0</v>
      </c>
      <c r="G51" s="58">
        <f>2*8</f>
        <v>16</v>
      </c>
      <c r="H51" s="107">
        <v>0.12166666700000001</v>
      </c>
      <c r="I51" s="62">
        <f t="shared" si="39"/>
        <v>0.60833333499999998</v>
      </c>
      <c r="J51" s="58">
        <v>2</v>
      </c>
      <c r="K51" s="62">
        <f t="shared" si="40"/>
        <v>1.4615384615384615</v>
      </c>
      <c r="L51" s="63" t="b">
        <f t="shared" si="41"/>
        <v>0</v>
      </c>
      <c r="M51" s="64">
        <v>21</v>
      </c>
      <c r="N51" s="65">
        <f>ABS(C51-M51)/C51</f>
        <v>2.2307692307692308</v>
      </c>
      <c r="O51" s="66" t="b">
        <f t="shared" si="42"/>
        <v>0</v>
      </c>
      <c r="P51" s="59">
        <v>32</v>
      </c>
      <c r="Q51" s="60">
        <f t="shared" si="43"/>
        <v>3.9230769230769229</v>
      </c>
      <c r="R51" s="61" t="b">
        <f t="shared" si="44"/>
        <v>0</v>
      </c>
      <c r="S51" s="67">
        <v>13</v>
      </c>
      <c r="T51" s="68">
        <f t="shared" si="45"/>
        <v>7.6470588235294124E-2</v>
      </c>
      <c r="U51" s="69" t="b">
        <f t="shared" si="46"/>
        <v>1</v>
      </c>
      <c r="V51" s="70">
        <v>40</v>
      </c>
      <c r="W51" s="71">
        <f t="shared" si="47"/>
        <v>5.1538461538461542</v>
      </c>
      <c r="X51" s="72" t="b">
        <f t="shared" si="48"/>
        <v>0</v>
      </c>
    </row>
    <row r="52" spans="1:24" x14ac:dyDescent="0.3">
      <c r="A52" s="129"/>
      <c r="B52" s="23" t="s">
        <v>121</v>
      </c>
      <c r="C52" s="57">
        <v>190.5</v>
      </c>
      <c r="D52" s="59">
        <v>174</v>
      </c>
      <c r="E52" s="60">
        <f t="shared" si="37"/>
        <v>8.6614173228346455E-2</v>
      </c>
      <c r="F52" s="61" t="b">
        <f t="shared" si="38"/>
        <v>1</v>
      </c>
      <c r="G52" s="58">
        <f>20*8</f>
        <v>160</v>
      </c>
      <c r="H52" s="62">
        <v>9.6944444000000005E-2</v>
      </c>
      <c r="I52" s="62">
        <f t="shared" si="39"/>
        <v>0.48472222000000004</v>
      </c>
      <c r="J52" s="58">
        <v>1</v>
      </c>
      <c r="K52" s="62">
        <f t="shared" si="40"/>
        <v>0.16010498687664043</v>
      </c>
      <c r="L52" s="63" t="b">
        <f t="shared" si="41"/>
        <v>1</v>
      </c>
      <c r="M52" s="64">
        <v>97</v>
      </c>
      <c r="N52" s="65">
        <f t="shared" ref="N52:N56" si="49">ABS(C52-M52)/C52</f>
        <v>0.49081364829396323</v>
      </c>
      <c r="O52" s="66" t="b">
        <f t="shared" si="42"/>
        <v>0</v>
      </c>
      <c r="P52" s="59">
        <v>90</v>
      </c>
      <c r="Q52" s="60">
        <f t="shared" si="43"/>
        <v>0.52755905511811019</v>
      </c>
      <c r="R52" s="61" t="b">
        <f t="shared" si="44"/>
        <v>0</v>
      </c>
      <c r="S52" s="67">
        <v>76</v>
      </c>
      <c r="T52" s="68">
        <f t="shared" si="45"/>
        <v>1.3470588235294119</v>
      </c>
      <c r="U52" s="69" t="b">
        <f t="shared" si="46"/>
        <v>0</v>
      </c>
      <c r="V52" s="70">
        <v>156</v>
      </c>
      <c r="W52" s="71">
        <f t="shared" si="47"/>
        <v>0.18110236220472442</v>
      </c>
      <c r="X52" s="72" t="b">
        <f t="shared" si="48"/>
        <v>1</v>
      </c>
    </row>
    <row r="53" spans="1:24" x14ac:dyDescent="0.3">
      <c r="A53" s="129"/>
      <c r="B53" s="23" t="s">
        <v>122</v>
      </c>
      <c r="C53" s="57">
        <v>43.5</v>
      </c>
      <c r="D53" s="59">
        <v>36</v>
      </c>
      <c r="E53" s="60">
        <f t="shared" si="37"/>
        <v>0.17241379310344829</v>
      </c>
      <c r="F53" s="61" t="b">
        <f t="shared" si="38"/>
        <v>1</v>
      </c>
      <c r="G53" s="58">
        <f>8*8</f>
        <v>64</v>
      </c>
      <c r="H53" s="62">
        <v>0.14694444400000001</v>
      </c>
      <c r="I53" s="62">
        <f t="shared" si="39"/>
        <v>0.73472222000000009</v>
      </c>
      <c r="J53" s="58">
        <v>2</v>
      </c>
      <c r="K53" s="62">
        <f t="shared" si="40"/>
        <v>0.47126436781609193</v>
      </c>
      <c r="L53" s="63" t="b">
        <f t="shared" si="41"/>
        <v>0</v>
      </c>
      <c r="M53" s="64">
        <v>98</v>
      </c>
      <c r="N53" s="65">
        <f t="shared" si="49"/>
        <v>1.2528735632183907</v>
      </c>
      <c r="O53" s="66" t="b">
        <f t="shared" si="42"/>
        <v>0</v>
      </c>
      <c r="P53" s="59">
        <v>110</v>
      </c>
      <c r="Q53" s="60">
        <f t="shared" si="43"/>
        <v>1.5287356321839081</v>
      </c>
      <c r="R53" s="61" t="b">
        <f t="shared" si="44"/>
        <v>0</v>
      </c>
      <c r="S53" s="67">
        <v>113</v>
      </c>
      <c r="T53" s="68">
        <f t="shared" si="45"/>
        <v>0.81764705882352939</v>
      </c>
      <c r="U53" s="69" t="b">
        <f t="shared" si="46"/>
        <v>0</v>
      </c>
      <c r="V53" s="70">
        <v>88</v>
      </c>
      <c r="W53" s="71">
        <f t="shared" si="47"/>
        <v>1.0229885057471264</v>
      </c>
      <c r="X53" s="72" t="b">
        <f t="shared" si="48"/>
        <v>0</v>
      </c>
    </row>
    <row r="54" spans="1:24" x14ac:dyDescent="0.3">
      <c r="A54" s="129"/>
      <c r="B54" s="23" t="s">
        <v>123</v>
      </c>
      <c r="C54" s="57">
        <v>103</v>
      </c>
      <c r="D54" s="59">
        <v>109.5</v>
      </c>
      <c r="E54" s="60">
        <f t="shared" si="37"/>
        <v>6.3106796116504854E-2</v>
      </c>
      <c r="F54" s="61" t="b">
        <f t="shared" si="38"/>
        <v>1</v>
      </c>
      <c r="G54" s="58">
        <f>13*8</f>
        <v>104</v>
      </c>
      <c r="H54" s="62">
        <v>0.10555555599999999</v>
      </c>
      <c r="I54" s="62">
        <f t="shared" si="39"/>
        <v>0.52777777999999997</v>
      </c>
      <c r="J54" s="58">
        <v>2</v>
      </c>
      <c r="K54" s="62">
        <f t="shared" si="40"/>
        <v>9.7087378640776691E-3</v>
      </c>
      <c r="L54" s="63" t="b">
        <f t="shared" si="41"/>
        <v>1</v>
      </c>
      <c r="M54" s="64">
        <v>130</v>
      </c>
      <c r="N54" s="65">
        <f t="shared" si="49"/>
        <v>0.26213592233009708</v>
      </c>
      <c r="O54" s="66" t="b">
        <f t="shared" si="42"/>
        <v>0</v>
      </c>
      <c r="P54" s="59">
        <v>146</v>
      </c>
      <c r="Q54" s="60">
        <f t="shared" si="43"/>
        <v>0.41747572815533979</v>
      </c>
      <c r="R54" s="61" t="b">
        <f t="shared" si="44"/>
        <v>0</v>
      </c>
      <c r="S54" s="67">
        <v>94</v>
      </c>
      <c r="T54" s="68">
        <f t="shared" si="45"/>
        <v>0.10588235294117647</v>
      </c>
      <c r="U54" s="69" t="b">
        <f t="shared" si="46"/>
        <v>1</v>
      </c>
      <c r="V54" s="70">
        <v>168</v>
      </c>
      <c r="W54" s="71">
        <f t="shared" si="47"/>
        <v>0.6310679611650486</v>
      </c>
      <c r="X54" s="72" t="b">
        <f t="shared" si="48"/>
        <v>0</v>
      </c>
    </row>
    <row r="55" spans="1:24" x14ac:dyDescent="0.3">
      <c r="A55" s="129"/>
      <c r="B55" s="23" t="s">
        <v>124</v>
      </c>
      <c r="C55" s="57">
        <v>18</v>
      </c>
      <c r="D55" s="59">
        <v>18</v>
      </c>
      <c r="E55" s="60">
        <f t="shared" ref="E55" si="50">ABS(C55-D55)/C55</f>
        <v>0</v>
      </c>
      <c r="F55" s="61" t="b">
        <f t="shared" ref="F55" si="51">IF(E55&lt;=0.25,TRUE,FALSE)</f>
        <v>1</v>
      </c>
      <c r="G55" s="58">
        <f>3*8</f>
        <v>24</v>
      </c>
      <c r="H55" s="62">
        <v>0.12</v>
      </c>
      <c r="I55" s="62">
        <f t="shared" ref="I55" si="52">H55*5</f>
        <v>0.6</v>
      </c>
      <c r="J55" s="58">
        <v>3</v>
      </c>
      <c r="K55" s="62">
        <f t="shared" ref="K55" si="53">ABS(C55-G55)/C55</f>
        <v>0.33333333333333331</v>
      </c>
      <c r="L55" s="63" t="b">
        <f t="shared" ref="L55" si="54">IF(K55&lt;=0.25,TRUE,FALSE)</f>
        <v>0</v>
      </c>
      <c r="M55" s="64">
        <v>52</v>
      </c>
      <c r="N55" s="65">
        <f t="shared" ref="N55" si="55">ABS(C55-M55)/C55</f>
        <v>1.8888888888888888</v>
      </c>
      <c r="O55" s="66" t="b">
        <f t="shared" ref="O55" si="56">IF(N55&lt;=0.25,TRUE,FALSE)</f>
        <v>0</v>
      </c>
      <c r="P55" s="59">
        <v>54</v>
      </c>
      <c r="Q55" s="60">
        <f>ABS(C55-P55)/C55</f>
        <v>2</v>
      </c>
      <c r="R55" s="61" t="b">
        <f t="shared" si="44"/>
        <v>0</v>
      </c>
      <c r="S55" s="67">
        <v>36</v>
      </c>
      <c r="T55" s="68">
        <f t="shared" si="45"/>
        <v>0.21176470588235294</v>
      </c>
      <c r="U55" s="69" t="b">
        <f t="shared" si="46"/>
        <v>1</v>
      </c>
      <c r="V55" s="70">
        <v>57</v>
      </c>
      <c r="W55" s="71">
        <f t="shared" si="47"/>
        <v>2.1666666666666665</v>
      </c>
      <c r="X55" s="72" t="b">
        <f t="shared" si="48"/>
        <v>0</v>
      </c>
    </row>
    <row r="56" spans="1:24" x14ac:dyDescent="0.3">
      <c r="A56" s="129"/>
      <c r="B56" s="23" t="s">
        <v>133</v>
      </c>
      <c r="C56" s="57">
        <v>53.5</v>
      </c>
      <c r="D56" s="59">
        <v>56</v>
      </c>
      <c r="E56" s="60">
        <f>ABS(C56-D56)/C56</f>
        <v>4.6728971962616821E-2</v>
      </c>
      <c r="F56" s="61" t="b">
        <f t="shared" si="38"/>
        <v>1</v>
      </c>
      <c r="G56" s="58">
        <f>8*8</f>
        <v>64</v>
      </c>
      <c r="H56" s="62">
        <v>5.9722222222222225E-2</v>
      </c>
      <c r="I56" s="62">
        <f t="shared" si="39"/>
        <v>0.2986111111111111</v>
      </c>
      <c r="J56" s="58">
        <v>2</v>
      </c>
      <c r="K56" s="62">
        <f t="shared" si="40"/>
        <v>0.19626168224299065</v>
      </c>
      <c r="L56" s="63" t="b">
        <f t="shared" si="41"/>
        <v>1</v>
      </c>
      <c r="M56" s="64">
        <v>53</v>
      </c>
      <c r="N56" s="65">
        <f t="shared" si="49"/>
        <v>9.3457943925233638E-3</v>
      </c>
      <c r="O56" s="66" t="b">
        <f t="shared" si="42"/>
        <v>1</v>
      </c>
      <c r="P56" s="59">
        <v>36</v>
      </c>
      <c r="Q56" s="60">
        <f t="shared" si="43"/>
        <v>0.32710280373831774</v>
      </c>
      <c r="R56" s="61" t="b">
        <f t="shared" si="44"/>
        <v>0</v>
      </c>
      <c r="S56" s="67">
        <v>38</v>
      </c>
      <c r="T56" s="68">
        <f t="shared" si="45"/>
        <v>0.18235294117647058</v>
      </c>
      <c r="U56" s="69" t="b">
        <f t="shared" si="46"/>
        <v>1</v>
      </c>
      <c r="V56" s="70">
        <v>62</v>
      </c>
      <c r="W56" s="71">
        <f t="shared" si="47"/>
        <v>0.15887850467289719</v>
      </c>
      <c r="X56" s="72" t="b">
        <f t="shared" si="48"/>
        <v>1</v>
      </c>
    </row>
    <row r="57" spans="1:24" x14ac:dyDescent="0.3">
      <c r="A57" s="15" t="s">
        <v>68</v>
      </c>
      <c r="B57" s="23"/>
      <c r="C57" s="23">
        <f>SUM(C49:C56)</f>
        <v>589</v>
      </c>
      <c r="D57" s="33">
        <f>SUM(D49:D56)</f>
        <v>589.5</v>
      </c>
      <c r="E57" s="37">
        <f>AVERAGE(E49:E56)</f>
        <v>0.18029755447740298</v>
      </c>
      <c r="F57" s="37">
        <f>COUNTIF(F49:F56, TRUE)/ROWS(B49:B56)</f>
        <v>0.875</v>
      </c>
      <c r="G57" s="34">
        <f>SUM(G49:G56)</f>
        <v>640</v>
      </c>
      <c r="H57" s="38">
        <f>SUM(H49:H56)</f>
        <v>0.9786111111111111</v>
      </c>
      <c r="I57" s="38">
        <f>SUM(I49:I56)</f>
        <v>4.8930555555555548</v>
      </c>
      <c r="J57" s="34">
        <f>SUM(J49:J56)</f>
        <v>17</v>
      </c>
      <c r="K57" s="38">
        <f>AVERAGE(K49:K56)</f>
        <v>0.37803503840987479</v>
      </c>
      <c r="L57" s="38">
        <f>COUNTIF(L49:L56, TRUE)/ROWS(B49:B56)</f>
        <v>0.625</v>
      </c>
      <c r="M57" s="54">
        <f>SUM(M49:M56)</f>
        <v>677</v>
      </c>
      <c r="N57" s="55">
        <f>AVERAGE(N49:N56)</f>
        <v>0.84286131224902938</v>
      </c>
      <c r="O57" s="55">
        <f>COUNTIF(O49:O56, TRUE)/ROWS(B49:B56)</f>
        <v>0.25</v>
      </c>
      <c r="P57" s="33">
        <f>SUM(P49:P56)</f>
        <v>636</v>
      </c>
      <c r="Q57" s="37">
        <f>AVERAGE(Q49:Q56)</f>
        <v>1.1535473038052249</v>
      </c>
      <c r="R57" s="37">
        <f>COUNTIF(R49:R56, TRUE)/ROWS(B49:B56)</f>
        <v>0.125</v>
      </c>
      <c r="S57" s="35">
        <f>SUM(S49:S56)</f>
        <v>497</v>
      </c>
      <c r="T57" s="39">
        <f>AVERAGE(T49:T56)</f>
        <v>0.41176470588235292</v>
      </c>
      <c r="U57" s="39">
        <f>COUNTIF(U49:U56, TRUE)/ROWS(B49:B56)</f>
        <v>0.625</v>
      </c>
      <c r="V57" s="36">
        <f>SUM(V49:V56)</f>
        <v>835</v>
      </c>
      <c r="W57" s="40">
        <f>AVERAGE(W49:W56)</f>
        <v>1.2956803026652228</v>
      </c>
      <c r="X57" s="40">
        <f>COUNTIF(X49:X56, TRUE)/ROWS(B49:B56)</f>
        <v>0.375</v>
      </c>
    </row>
    <row r="58" spans="1:24" x14ac:dyDescent="0.3">
      <c r="A58" s="128" t="s">
        <v>125</v>
      </c>
      <c r="B58" s="56" t="s">
        <v>112</v>
      </c>
      <c r="C58" s="57">
        <v>56.25</v>
      </c>
      <c r="D58" s="59">
        <v>55</v>
      </c>
      <c r="E58" s="60">
        <f>ABS(C58-D58)/C58</f>
        <v>2.2222222222222223E-2</v>
      </c>
      <c r="F58" s="61" t="b">
        <f>IF(E58&lt;=0.25,TRUE,FALSE)</f>
        <v>1</v>
      </c>
      <c r="G58" s="58">
        <f>8*8</f>
        <v>64</v>
      </c>
      <c r="H58" s="62">
        <v>9.6944444000000005E-2</v>
      </c>
      <c r="I58" s="62">
        <f>5*H58</f>
        <v>0.48472222000000004</v>
      </c>
      <c r="J58" s="58">
        <v>2</v>
      </c>
      <c r="K58" s="62">
        <f>ABS(C58-G58)/C58</f>
        <v>0.13777777777777778</v>
      </c>
      <c r="L58" s="63" t="b">
        <f>IF(K58&lt;=0.25,TRUE,FALSE)</f>
        <v>1</v>
      </c>
      <c r="M58" s="64">
        <v>53</v>
      </c>
      <c r="N58" s="65">
        <f>ABS(C58-M58)/C58</f>
        <v>5.7777777777777775E-2</v>
      </c>
      <c r="O58" s="66" t="b">
        <f>IF(N58&lt;=0.25,TRUE,FALSE)</f>
        <v>1</v>
      </c>
      <c r="P58" s="59">
        <v>43</v>
      </c>
      <c r="Q58" s="60">
        <f>ABS(C58-P58)/C58</f>
        <v>0.23555555555555555</v>
      </c>
      <c r="R58" s="61" t="b">
        <f>IF(Q58&lt;=0.25,TRUE,FALSE)</f>
        <v>1</v>
      </c>
      <c r="S58" s="67">
        <v>40</v>
      </c>
      <c r="T58" s="68">
        <f>ABS(C58-S58)/C58</f>
        <v>0.28888888888888886</v>
      </c>
      <c r="U58" s="69" t="b">
        <f>IF(T58&lt;=0.25,TRUE,FALSE)</f>
        <v>0</v>
      </c>
      <c r="V58" s="70">
        <v>70</v>
      </c>
      <c r="W58" s="71">
        <f>ABS(C58-V58)/C58</f>
        <v>0.24444444444444444</v>
      </c>
      <c r="X58" s="72" t="b">
        <f>IF(W58&lt;=0.25,TRUE,FALSE)</f>
        <v>1</v>
      </c>
    </row>
    <row r="59" spans="1:24" x14ac:dyDescent="0.3">
      <c r="A59" s="129"/>
      <c r="B59" s="56" t="s">
        <v>113</v>
      </c>
      <c r="C59" s="57">
        <v>69</v>
      </c>
      <c r="D59" s="59">
        <v>56</v>
      </c>
      <c r="E59" s="60">
        <f t="shared" ref="E59:E67" si="57">ABS(C59-D59)/C59</f>
        <v>0.18840579710144928</v>
      </c>
      <c r="F59" s="61" t="b">
        <f t="shared" ref="F59:F67" si="58">IF(E59&lt;=0.25,TRUE,FALSE)</f>
        <v>1</v>
      </c>
      <c r="G59" s="58">
        <f>8*8</f>
        <v>64</v>
      </c>
      <c r="H59" s="62">
        <v>0.12416666699999999</v>
      </c>
      <c r="I59" s="62">
        <f t="shared" ref="I59:I67" si="59">5*H59</f>
        <v>0.62083333499999993</v>
      </c>
      <c r="J59" s="58">
        <v>2</v>
      </c>
      <c r="K59" s="62">
        <f t="shared" ref="K59:K67" si="60">ABS(C59-G59)/C59</f>
        <v>7.2463768115942032E-2</v>
      </c>
      <c r="L59" s="63" t="b">
        <f t="shared" ref="L59:L67" si="61">IF(K59&lt;=0.25,TRUE,FALSE)</f>
        <v>1</v>
      </c>
      <c r="M59" s="64">
        <v>54</v>
      </c>
      <c r="N59" s="65">
        <f t="shared" ref="N59:N67" si="62">ABS(C59-M59)/C59</f>
        <v>0.21739130434782608</v>
      </c>
      <c r="O59" s="66" t="b">
        <f t="shared" ref="O59:O67" si="63">IF(N59&lt;=0.25,TRUE,FALSE)</f>
        <v>1</v>
      </c>
      <c r="P59" s="59">
        <v>44</v>
      </c>
      <c r="Q59" s="60">
        <f t="shared" ref="Q59:Q67" si="64">ABS(C59-P59)/C59</f>
        <v>0.36231884057971014</v>
      </c>
      <c r="R59" s="61" t="b">
        <f t="shared" ref="R59:R67" si="65">IF(Q59&lt;=0.25,TRUE,FALSE)</f>
        <v>0</v>
      </c>
      <c r="S59" s="67">
        <v>51</v>
      </c>
      <c r="T59" s="68">
        <f t="shared" ref="T59:T67" si="66">ABS(C59-S59)/C59</f>
        <v>0.2608695652173913</v>
      </c>
      <c r="U59" s="69" t="b">
        <f t="shared" ref="U59:U67" si="67">IF(T59&lt;=0.25,TRUE,FALSE)</f>
        <v>0</v>
      </c>
      <c r="V59" s="70">
        <v>70</v>
      </c>
      <c r="W59" s="71">
        <f t="shared" ref="W59:W67" si="68">ABS(C59-V59)/C59</f>
        <v>1.4492753623188406E-2</v>
      </c>
      <c r="X59" s="72" t="b">
        <f t="shared" ref="X59:X67" si="69">IF(W59&lt;=0.25,TRUE,FALSE)</f>
        <v>1</v>
      </c>
    </row>
    <row r="60" spans="1:24" x14ac:dyDescent="0.3">
      <c r="A60" s="129"/>
      <c r="B60" s="56" t="s">
        <v>114</v>
      </c>
      <c r="C60" s="57">
        <v>44.75</v>
      </c>
      <c r="D60" s="59">
        <v>40</v>
      </c>
      <c r="E60" s="60">
        <f t="shared" si="57"/>
        <v>0.10614525139664804</v>
      </c>
      <c r="F60" s="61" t="b">
        <f t="shared" si="58"/>
        <v>1</v>
      </c>
      <c r="G60" s="58">
        <f>5*8</f>
        <v>40</v>
      </c>
      <c r="H60" s="62">
        <v>0.122777778</v>
      </c>
      <c r="I60" s="62">
        <f t="shared" si="59"/>
        <v>0.61388889000000002</v>
      </c>
      <c r="J60" s="58">
        <v>2</v>
      </c>
      <c r="K60" s="62">
        <f t="shared" si="60"/>
        <v>0.10614525139664804</v>
      </c>
      <c r="L60" s="63" t="b">
        <f t="shared" si="61"/>
        <v>1</v>
      </c>
      <c r="M60" s="64">
        <v>46</v>
      </c>
      <c r="N60" s="65">
        <f t="shared" si="62"/>
        <v>2.7932960893854747E-2</v>
      </c>
      <c r="O60" s="66" t="b">
        <f t="shared" si="63"/>
        <v>1</v>
      </c>
      <c r="P60" s="59">
        <v>34</v>
      </c>
      <c r="Q60" s="60">
        <f t="shared" si="64"/>
        <v>0.24022346368715083</v>
      </c>
      <c r="R60" s="61" t="b">
        <f t="shared" si="65"/>
        <v>1</v>
      </c>
      <c r="S60" s="67">
        <v>54</v>
      </c>
      <c r="T60" s="68">
        <f t="shared" si="66"/>
        <v>0.20670391061452514</v>
      </c>
      <c r="U60" s="69" t="b">
        <f t="shared" si="67"/>
        <v>1</v>
      </c>
      <c r="V60" s="70">
        <v>68</v>
      </c>
      <c r="W60" s="71">
        <f t="shared" si="68"/>
        <v>0.51955307262569828</v>
      </c>
      <c r="X60" s="72" t="b">
        <f t="shared" si="69"/>
        <v>0</v>
      </c>
    </row>
    <row r="61" spans="1:24" x14ac:dyDescent="0.3">
      <c r="A61" s="129"/>
      <c r="B61" s="56" t="s">
        <v>115</v>
      </c>
      <c r="C61" s="57">
        <v>79.5</v>
      </c>
      <c r="D61" s="59">
        <v>86</v>
      </c>
      <c r="E61" s="60">
        <f t="shared" si="57"/>
        <v>8.1761006289308172E-2</v>
      </c>
      <c r="F61" s="61" t="b">
        <f t="shared" si="58"/>
        <v>1</v>
      </c>
      <c r="G61" s="58">
        <f>8*8</f>
        <v>64</v>
      </c>
      <c r="H61" s="62">
        <v>0.12111111099999999</v>
      </c>
      <c r="I61" s="62">
        <f t="shared" si="59"/>
        <v>0.60555555500000002</v>
      </c>
      <c r="J61" s="58">
        <v>3</v>
      </c>
      <c r="K61" s="62">
        <f t="shared" si="60"/>
        <v>0.19496855345911951</v>
      </c>
      <c r="L61" s="63" t="b">
        <f t="shared" si="61"/>
        <v>1</v>
      </c>
      <c r="M61" s="64">
        <v>56</v>
      </c>
      <c r="N61" s="65">
        <f t="shared" si="62"/>
        <v>0.29559748427672955</v>
      </c>
      <c r="O61" s="66" t="b">
        <f t="shared" si="63"/>
        <v>0</v>
      </c>
      <c r="P61" s="59">
        <v>28</v>
      </c>
      <c r="Q61" s="60">
        <f t="shared" si="64"/>
        <v>0.64779874213836475</v>
      </c>
      <c r="R61" s="61" t="b">
        <f t="shared" si="65"/>
        <v>0</v>
      </c>
      <c r="S61" s="67">
        <v>23</v>
      </c>
      <c r="T61" s="68">
        <f t="shared" si="66"/>
        <v>0.71069182389937102</v>
      </c>
      <c r="U61" s="69" t="b">
        <f t="shared" si="67"/>
        <v>0</v>
      </c>
      <c r="V61" s="70">
        <v>74</v>
      </c>
      <c r="W61" s="71">
        <f t="shared" si="68"/>
        <v>6.9182389937106917E-2</v>
      </c>
      <c r="X61" s="72" t="b">
        <f t="shared" si="69"/>
        <v>1</v>
      </c>
    </row>
    <row r="62" spans="1:24" x14ac:dyDescent="0.3">
      <c r="A62" s="129"/>
      <c r="B62" s="56" t="s">
        <v>116</v>
      </c>
      <c r="C62" s="57">
        <v>76.75</v>
      </c>
      <c r="D62" s="59">
        <v>78</v>
      </c>
      <c r="E62" s="60">
        <f t="shared" si="57"/>
        <v>1.6286644951140065E-2</v>
      </c>
      <c r="F62" s="61" t="b">
        <f t="shared" si="58"/>
        <v>1</v>
      </c>
      <c r="G62" s="58">
        <f>13*8</f>
        <v>104</v>
      </c>
      <c r="H62" s="62">
        <v>0.1238888888888889</v>
      </c>
      <c r="I62" s="62">
        <f t="shared" si="59"/>
        <v>0.61944444444444446</v>
      </c>
      <c r="J62" s="58">
        <v>3</v>
      </c>
      <c r="K62" s="62">
        <f t="shared" si="60"/>
        <v>0.35504885993485341</v>
      </c>
      <c r="L62" s="63" t="b">
        <f t="shared" si="61"/>
        <v>0</v>
      </c>
      <c r="M62" s="64">
        <v>67</v>
      </c>
      <c r="N62" s="65">
        <f t="shared" si="62"/>
        <v>0.12703583061889251</v>
      </c>
      <c r="O62" s="66" t="b">
        <f t="shared" si="63"/>
        <v>1</v>
      </c>
      <c r="P62" s="59">
        <v>46</v>
      </c>
      <c r="Q62" s="60">
        <f t="shared" si="64"/>
        <v>0.40065146579804561</v>
      </c>
      <c r="R62" s="61" t="b">
        <f t="shared" si="65"/>
        <v>0</v>
      </c>
      <c r="S62" s="67">
        <v>44</v>
      </c>
      <c r="T62" s="68">
        <f t="shared" si="66"/>
        <v>0.42671009771986973</v>
      </c>
      <c r="U62" s="69" t="b">
        <f t="shared" si="67"/>
        <v>0</v>
      </c>
      <c r="V62" s="70">
        <v>79</v>
      </c>
      <c r="W62" s="71">
        <f t="shared" si="68"/>
        <v>2.9315960912052116E-2</v>
      </c>
      <c r="X62" s="72" t="b">
        <f t="shared" si="69"/>
        <v>1</v>
      </c>
    </row>
    <row r="63" spans="1:24" x14ac:dyDescent="0.3">
      <c r="A63" s="129"/>
      <c r="B63" s="56" t="s">
        <v>126</v>
      </c>
      <c r="C63" s="57">
        <v>66.5</v>
      </c>
      <c r="D63" s="59">
        <v>61</v>
      </c>
      <c r="E63" s="60">
        <f t="shared" si="57"/>
        <v>8.2706766917293228E-2</v>
      </c>
      <c r="F63" s="61" t="b">
        <f t="shared" si="58"/>
        <v>1</v>
      </c>
      <c r="G63" s="58">
        <f>8*8</f>
        <v>64</v>
      </c>
      <c r="H63" s="62">
        <v>9.2222222222222219E-2</v>
      </c>
      <c r="I63" s="62">
        <f t="shared" si="59"/>
        <v>0.46111111111111108</v>
      </c>
      <c r="J63" s="58">
        <v>2</v>
      </c>
      <c r="K63" s="62">
        <f t="shared" si="60"/>
        <v>3.7593984962406013E-2</v>
      </c>
      <c r="L63" s="63" t="b">
        <f t="shared" si="61"/>
        <v>1</v>
      </c>
      <c r="M63" s="64">
        <v>64</v>
      </c>
      <c r="N63" s="65">
        <f t="shared" si="62"/>
        <v>3.7593984962406013E-2</v>
      </c>
      <c r="O63" s="66" t="b">
        <f t="shared" si="63"/>
        <v>1</v>
      </c>
      <c r="P63" s="59">
        <v>42</v>
      </c>
      <c r="Q63" s="60">
        <f t="shared" si="64"/>
        <v>0.36842105263157893</v>
      </c>
      <c r="R63" s="61" t="b">
        <f t="shared" si="65"/>
        <v>0</v>
      </c>
      <c r="S63" s="67">
        <v>23</v>
      </c>
      <c r="T63" s="68">
        <f t="shared" si="66"/>
        <v>0.65413533834586468</v>
      </c>
      <c r="U63" s="69" t="b">
        <f t="shared" si="67"/>
        <v>0</v>
      </c>
      <c r="V63" s="70">
        <v>50</v>
      </c>
      <c r="W63" s="71">
        <f t="shared" si="68"/>
        <v>0.24812030075187969</v>
      </c>
      <c r="X63" s="72" t="b">
        <f t="shared" si="69"/>
        <v>1</v>
      </c>
    </row>
    <row r="64" spans="1:24" x14ac:dyDescent="0.3">
      <c r="A64" s="129"/>
      <c r="B64" s="56" t="s">
        <v>127</v>
      </c>
      <c r="C64" s="57">
        <v>110.25</v>
      </c>
      <c r="D64" s="59">
        <v>90</v>
      </c>
      <c r="E64" s="60">
        <f t="shared" si="57"/>
        <v>0.18367346938775511</v>
      </c>
      <c r="F64" s="61" t="b">
        <f t="shared" si="58"/>
        <v>1</v>
      </c>
      <c r="G64" s="58">
        <f>8*8</f>
        <v>64</v>
      </c>
      <c r="H64" s="62">
        <v>0.14499999999999999</v>
      </c>
      <c r="I64" s="62">
        <f t="shared" si="59"/>
        <v>0.72499999999999998</v>
      </c>
      <c r="J64" s="58">
        <v>2</v>
      </c>
      <c r="K64" s="62">
        <f t="shared" si="60"/>
        <v>0.41950113378684806</v>
      </c>
      <c r="L64" s="63" t="b">
        <f t="shared" si="61"/>
        <v>0</v>
      </c>
      <c r="M64" s="64">
        <v>56</v>
      </c>
      <c r="N64" s="65">
        <f t="shared" si="62"/>
        <v>0.49206349206349204</v>
      </c>
      <c r="O64" s="66" t="b">
        <f t="shared" si="63"/>
        <v>0</v>
      </c>
      <c r="P64" s="59">
        <v>38</v>
      </c>
      <c r="Q64" s="60">
        <f t="shared" si="64"/>
        <v>0.65532879818594103</v>
      </c>
      <c r="R64" s="61" t="b">
        <f t="shared" si="65"/>
        <v>0</v>
      </c>
      <c r="S64" s="67">
        <v>25</v>
      </c>
      <c r="T64" s="68">
        <f t="shared" si="66"/>
        <v>0.77324263038548757</v>
      </c>
      <c r="U64" s="69" t="b">
        <f t="shared" si="67"/>
        <v>0</v>
      </c>
      <c r="V64" s="70">
        <v>35</v>
      </c>
      <c r="W64" s="71">
        <f t="shared" si="68"/>
        <v>0.68253968253968256</v>
      </c>
      <c r="X64" s="72" t="b">
        <f t="shared" si="69"/>
        <v>0</v>
      </c>
    </row>
    <row r="65" spans="1:24" x14ac:dyDescent="0.3">
      <c r="A65" s="129"/>
      <c r="B65" s="56" t="s">
        <v>128</v>
      </c>
      <c r="C65" s="57">
        <v>98.5</v>
      </c>
      <c r="D65" s="59">
        <v>90</v>
      </c>
      <c r="E65" s="60">
        <f t="shared" si="57"/>
        <v>8.6294416243654817E-2</v>
      </c>
      <c r="F65" s="61" t="b">
        <f t="shared" si="58"/>
        <v>1</v>
      </c>
      <c r="G65" s="58">
        <f>8*8</f>
        <v>64</v>
      </c>
      <c r="H65" s="62">
        <v>0.16750000000000001</v>
      </c>
      <c r="I65" s="62">
        <f t="shared" si="59"/>
        <v>0.83750000000000002</v>
      </c>
      <c r="J65" s="58">
        <v>3</v>
      </c>
      <c r="K65" s="62">
        <f t="shared" si="60"/>
        <v>0.35025380710659898</v>
      </c>
      <c r="L65" s="63" t="b">
        <f t="shared" si="61"/>
        <v>0</v>
      </c>
      <c r="M65" s="64">
        <v>60</v>
      </c>
      <c r="N65" s="65">
        <f t="shared" si="62"/>
        <v>0.39086294416243655</v>
      </c>
      <c r="O65" s="66" t="b">
        <f t="shared" si="63"/>
        <v>0</v>
      </c>
      <c r="P65" s="59">
        <v>70</v>
      </c>
      <c r="Q65" s="60">
        <f t="shared" si="64"/>
        <v>0.28934010152284262</v>
      </c>
      <c r="R65" s="61" t="b">
        <f t="shared" si="65"/>
        <v>0</v>
      </c>
      <c r="S65" s="67">
        <v>32</v>
      </c>
      <c r="T65" s="68">
        <f t="shared" si="66"/>
        <v>0.67512690355329952</v>
      </c>
      <c r="U65" s="69" t="b">
        <f t="shared" si="67"/>
        <v>0</v>
      </c>
      <c r="V65" s="70">
        <v>28</v>
      </c>
      <c r="W65" s="71">
        <f t="shared" si="68"/>
        <v>0.71573604060913709</v>
      </c>
      <c r="X65" s="72" t="b">
        <f t="shared" si="69"/>
        <v>0</v>
      </c>
    </row>
    <row r="66" spans="1:24" x14ac:dyDescent="0.3">
      <c r="A66" s="129"/>
      <c r="B66" s="56" t="s">
        <v>129</v>
      </c>
      <c r="C66" s="57">
        <v>57</v>
      </c>
      <c r="D66" s="59">
        <v>72</v>
      </c>
      <c r="E66" s="60">
        <f t="shared" si="57"/>
        <v>0.26315789473684209</v>
      </c>
      <c r="F66" s="61" t="b">
        <f t="shared" si="58"/>
        <v>0</v>
      </c>
      <c r="G66" s="58">
        <f>5*8</f>
        <v>40</v>
      </c>
      <c r="H66" s="62">
        <v>0.11138888888888888</v>
      </c>
      <c r="I66" s="62">
        <f t="shared" si="59"/>
        <v>0.55694444444444446</v>
      </c>
      <c r="J66" s="58">
        <v>3</v>
      </c>
      <c r="K66" s="62">
        <f t="shared" si="60"/>
        <v>0.2982456140350877</v>
      </c>
      <c r="L66" s="63" t="b">
        <f t="shared" si="61"/>
        <v>0</v>
      </c>
      <c r="M66" s="64">
        <v>47</v>
      </c>
      <c r="N66" s="65">
        <f t="shared" si="62"/>
        <v>0.17543859649122806</v>
      </c>
      <c r="O66" s="66" t="b">
        <f t="shared" si="63"/>
        <v>1</v>
      </c>
      <c r="P66" s="59">
        <v>46</v>
      </c>
      <c r="Q66" s="60">
        <f t="shared" si="64"/>
        <v>0.19298245614035087</v>
      </c>
      <c r="R66" s="61" t="b">
        <f t="shared" si="65"/>
        <v>1</v>
      </c>
      <c r="S66" s="67">
        <v>32</v>
      </c>
      <c r="T66" s="68">
        <f t="shared" si="66"/>
        <v>0.43859649122807015</v>
      </c>
      <c r="U66" s="69" t="b">
        <f t="shared" si="67"/>
        <v>0</v>
      </c>
      <c r="V66" s="70">
        <v>76</v>
      </c>
      <c r="W66" s="71">
        <f t="shared" si="68"/>
        <v>0.33333333333333331</v>
      </c>
      <c r="X66" s="72" t="b">
        <f t="shared" si="69"/>
        <v>0</v>
      </c>
    </row>
    <row r="67" spans="1:24" x14ac:dyDescent="0.3">
      <c r="A67" s="130"/>
      <c r="B67" s="56" t="s">
        <v>130</v>
      </c>
      <c r="C67" s="57">
        <v>50</v>
      </c>
      <c r="D67" s="59">
        <v>64</v>
      </c>
      <c r="E67" s="60">
        <f t="shared" si="57"/>
        <v>0.28000000000000003</v>
      </c>
      <c r="F67" s="61" t="b">
        <f t="shared" si="58"/>
        <v>0</v>
      </c>
      <c r="G67" s="58">
        <f>5*8</f>
        <v>40</v>
      </c>
      <c r="H67" s="62">
        <v>0.1125</v>
      </c>
      <c r="I67" s="62">
        <f t="shared" si="59"/>
        <v>0.5625</v>
      </c>
      <c r="J67" s="58">
        <v>2</v>
      </c>
      <c r="K67" s="62">
        <f t="shared" si="60"/>
        <v>0.2</v>
      </c>
      <c r="L67" s="63" t="b">
        <f t="shared" si="61"/>
        <v>1</v>
      </c>
      <c r="M67" s="64">
        <v>60</v>
      </c>
      <c r="N67" s="65">
        <f t="shared" si="62"/>
        <v>0.2</v>
      </c>
      <c r="O67" s="66" t="b">
        <f t="shared" si="63"/>
        <v>1</v>
      </c>
      <c r="P67" s="59">
        <v>46</v>
      </c>
      <c r="Q67" s="60">
        <f t="shared" si="64"/>
        <v>0.08</v>
      </c>
      <c r="R67" s="61" t="b">
        <f t="shared" si="65"/>
        <v>1</v>
      </c>
      <c r="S67" s="67">
        <v>40</v>
      </c>
      <c r="T67" s="68">
        <f t="shared" si="66"/>
        <v>0.2</v>
      </c>
      <c r="U67" s="69" t="b">
        <f t="shared" si="67"/>
        <v>1</v>
      </c>
      <c r="V67" s="70">
        <v>64</v>
      </c>
      <c r="W67" s="71">
        <f t="shared" si="68"/>
        <v>0.28000000000000003</v>
      </c>
      <c r="X67" s="72" t="b">
        <f t="shared" si="69"/>
        <v>0</v>
      </c>
    </row>
    <row r="68" spans="1:24" x14ac:dyDescent="0.3">
      <c r="A68" s="15" t="s">
        <v>68</v>
      </c>
      <c r="B68" s="56"/>
      <c r="C68" s="23">
        <f>SUM(C58:C67)</f>
        <v>708.5</v>
      </c>
      <c r="D68" s="33">
        <f>SUM(D58:D67)</f>
        <v>692</v>
      </c>
      <c r="E68" s="37">
        <f>AVERAGE(E58:E67)</f>
        <v>0.13106534692463132</v>
      </c>
      <c r="F68" s="37">
        <f>COUNTIF(F58:F67, TRUE)/ROWS(B58:B67)</f>
        <v>0.8</v>
      </c>
      <c r="G68" s="34">
        <f>SUM(G58:G67)</f>
        <v>608</v>
      </c>
      <c r="H68" s="38">
        <f>SUM(H58:H67)</f>
        <v>1.2175</v>
      </c>
      <c r="I68" s="38">
        <f>SUM(I58:I67)</f>
        <v>6.0875000000000004</v>
      </c>
      <c r="J68" s="34">
        <f>SUM(J58:J67)</f>
        <v>24</v>
      </c>
      <c r="K68" s="38">
        <f>AVERAGE(K58:K67)</f>
        <v>0.21719987505752819</v>
      </c>
      <c r="L68" s="38">
        <f>COUNTIF(L58:L67, TRUE)/ROWS(B58:B67)</f>
        <v>0.6</v>
      </c>
      <c r="M68" s="54">
        <f>SUM(M58:M67)</f>
        <v>563</v>
      </c>
      <c r="N68" s="55">
        <f>AVERAGE(N58:N67)</f>
        <v>0.20216943755946434</v>
      </c>
      <c r="O68" s="55">
        <f>COUNTIF(O58:O67, TRUE)/ROWS(B58:B67)</f>
        <v>0.7</v>
      </c>
      <c r="P68" s="33">
        <f>SUM(P58:P67)</f>
        <v>437</v>
      </c>
      <c r="Q68" s="37">
        <f>AVERAGE(Q58:Q67)</f>
        <v>0.34726204762395402</v>
      </c>
      <c r="R68" s="37">
        <f>COUNTIF(R58:R67, TRUE)/ROWS(B58:B67)</f>
        <v>0.4</v>
      </c>
      <c r="S68" s="35">
        <f>SUM(S58:S67)</f>
        <v>364</v>
      </c>
      <c r="T68" s="39">
        <f>AVERAGE(T58:T67)</f>
        <v>0.46349656498527675</v>
      </c>
      <c r="U68" s="39">
        <f>COUNTIF(U58:U67, TRUE)/ROWS(B58:B67)</f>
        <v>0.2</v>
      </c>
      <c r="V68" s="36">
        <f>SUM(V58:V67)</f>
        <v>614</v>
      </c>
      <c r="W68" s="40">
        <f>AVERAGE(W58:W67)</f>
        <v>0.31367179787765231</v>
      </c>
      <c r="X68" s="40">
        <f>COUNTIF(X58:X67, TRUE)/ROWS(B58:B67)</f>
        <v>0.5</v>
      </c>
    </row>
    <row r="69" spans="1:24" x14ac:dyDescent="0.3">
      <c r="A69" s="31" t="s">
        <v>98</v>
      </c>
      <c r="B69" s="32"/>
      <c r="C69" s="32">
        <f>SUM(C57,C48,C37,C24,C10)</f>
        <v>2860.1</v>
      </c>
      <c r="D69" s="32">
        <f t="shared" ref="D69:V69" si="70">SUM(D57,D48,D37,D24,D10)</f>
        <v>2787.75</v>
      </c>
      <c r="E69" s="117">
        <f>AVERAGE(E49:E56,E38:E47, E25:E36, E11:E23,E3:E9)</f>
        <v>0.19864504982817846</v>
      </c>
      <c r="F69" s="117">
        <f>(COUNTIF(F3:F9, TRUE)+COUNTIF(F11:F23, TRUE) + COUNTIF(F25:F36,TRUE)+COUNTIF(F38:F47, TRUE)+ COUNTIF(F49:F56, TRUE))/(ROWS(B3:B9)+ ROWS(B11:B23) + ROWS(B25:B36) + ROWS(B38:B47) + ROWS(B49:B56))</f>
        <v>0.64</v>
      </c>
      <c r="G69" s="32">
        <f t="shared" si="70"/>
        <v>2952</v>
      </c>
      <c r="H69" s="117">
        <f t="shared" si="70"/>
        <v>6.758332909222224</v>
      </c>
      <c r="I69" s="117">
        <f t="shared" si="70"/>
        <v>33.791664546111107</v>
      </c>
      <c r="J69" s="32">
        <f t="shared" si="70"/>
        <v>113</v>
      </c>
      <c r="K69" s="117">
        <f>AVERAGE(K49:K56,K38:K47, K25:K36, K11:K23,K3:K9)</f>
        <v>0.44437503238728454</v>
      </c>
      <c r="L69" s="117">
        <f>(COUNTIF(L3:L9, TRUE)+COUNTIF(L11:L23, TRUE) + COUNTIF(L25:L36,TRUE)+COUNTIF(L38:L47, TRUE)+ COUNTIF(L49:L56, TRUE))/(ROWS(B3:B9)+ ROWS(B11:B23) + ROWS(B25:B36) + ROWS(B38:B47) + ROWS(B49:B56))</f>
        <v>0.5</v>
      </c>
      <c r="M69" s="32">
        <f t="shared" si="70"/>
        <v>3942</v>
      </c>
      <c r="N69" s="117">
        <f>AVERAGE(N49:N56,N38:N47, N25:N36, N11:N23,N3:N9)</f>
        <v>1.3622745458826619</v>
      </c>
      <c r="O69" s="117">
        <f>(COUNTIF(O3:O9, TRUE)+COUNTIF(O11:O23, TRUE) + COUNTIF(O25:O36,TRUE)+COUNTIF(O38:O47, TRUE)+ COUNTIF(O49:O56, TRUE))/(ROWS(B3:B9)+ ROWS(B11:B23) + ROWS(B25:B36) + ROWS(B38:B47) + ROWS(B49:B56))</f>
        <v>0.28000000000000003</v>
      </c>
      <c r="P69" s="32">
        <f t="shared" si="70"/>
        <v>4298</v>
      </c>
      <c r="Q69" s="117">
        <f>AVERAGE(Q49:Q56,Q38:Q47, Q25:Q36, Q11:Q23,Q3:Q9)</f>
        <v>1.7077782451180581</v>
      </c>
      <c r="R69" s="32">
        <f>(COUNTIF(R3:R9, TRUE)+COUNTIF(R11:R23, TRUE) + COUNTIF(R25:R36,TRUE)+COUNTIF(R38:R47, TRUE)+ COUNTIF(R49:R56, TRUE))/(ROWS(B3:B9)+ ROWS(B11:B23) + ROWS(B25:B36) + ROWS(B38:B47) + ROWS(B49:B56))</f>
        <v>0.2</v>
      </c>
      <c r="S69" s="32">
        <f t="shared" si="70"/>
        <v>4035</v>
      </c>
      <c r="T69" s="117">
        <f>AVERAGE(T49:T56,T38:T47, T25:T36, T11:T23,T3:T9)</f>
        <v>1.5620543319631717</v>
      </c>
      <c r="U69" s="32">
        <f>(COUNTIF(U3:U9, TRUE)+COUNTIF(U11:U23, TRUE) + COUNTIF(U25:U36,TRUE)+COUNTIF(U38:U47, TRUE)+ COUNTIF(U49:U56, TRUE))/(ROWS(B3:B9)+ ROWS(B11:B23) + ROWS(B25:B36) + ROWS(B38:B47) + ROWS(B49:B56))</f>
        <v>0.16</v>
      </c>
      <c r="V69" s="32">
        <f t="shared" si="70"/>
        <v>7700</v>
      </c>
      <c r="W69" s="117">
        <f>AVERAGE(W49:W56,W38:W47, W25:W36, W11:W23,W3:W9)</f>
        <v>3.5407370191994176</v>
      </c>
      <c r="X69" s="32">
        <f>(COUNTIF(X3:X9, TRUE)+COUNTIF(X11:X23, TRUE) + COUNTIF(X25:X36,TRUE)+COUNTIF(X38:X47, TRUE)+ COUNTIF(X49:X56, TRUE))/(ROWS(B3:B9)+ ROWS(B11:B23) + ROWS(B25:B36) + ROWS(B38:B47) + ROWS(B49:B56))</f>
        <v>0.1</v>
      </c>
    </row>
  </sheetData>
  <mergeCells count="15">
    <mergeCell ref="A49:A56"/>
    <mergeCell ref="A58:A67"/>
    <mergeCell ref="A38:A47"/>
    <mergeCell ref="S1:U1"/>
    <mergeCell ref="V1:X1"/>
    <mergeCell ref="B1:B2"/>
    <mergeCell ref="C1:C2"/>
    <mergeCell ref="D1:F1"/>
    <mergeCell ref="G1:L1"/>
    <mergeCell ref="M1:O1"/>
    <mergeCell ref="A1:A2"/>
    <mergeCell ref="A25:A36"/>
    <mergeCell ref="A3:A9"/>
    <mergeCell ref="P1:R1"/>
    <mergeCell ref="A11:A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C1" sqref="C1:C1048576"/>
    </sheetView>
  </sheetViews>
  <sheetFormatPr defaultRowHeight="14.4" x14ac:dyDescent="0.3"/>
  <cols>
    <col min="1" max="2" width="16.33203125" customWidth="1"/>
    <col min="3" max="3" width="22.6640625" customWidth="1"/>
    <col min="4" max="4" width="16.109375" customWidth="1"/>
    <col min="5" max="5" width="6.88671875" bestFit="1" customWidth="1"/>
    <col min="6" max="6" width="7.109375" bestFit="1" customWidth="1"/>
    <col min="7" max="7" width="16.109375" bestFit="1" customWidth="1"/>
    <col min="8" max="8" width="15" bestFit="1" customWidth="1"/>
    <col min="9" max="9" width="12" bestFit="1" customWidth="1"/>
    <col min="10" max="10" width="10.44140625" bestFit="1" customWidth="1"/>
    <col min="11" max="11" width="6.44140625" bestFit="1" customWidth="1"/>
    <col min="12" max="12" width="7.109375" bestFit="1" customWidth="1"/>
    <col min="13" max="13" width="16.109375" bestFit="1" customWidth="1"/>
    <col min="14" max="14" width="6.44140625" bestFit="1" customWidth="1"/>
    <col min="15" max="15" width="7.109375" bestFit="1" customWidth="1"/>
    <col min="16" max="16" width="16.109375" bestFit="1" customWidth="1"/>
    <col min="17" max="17" width="6.44140625" bestFit="1" customWidth="1"/>
    <col min="18" max="18" width="7.109375" bestFit="1" customWidth="1"/>
    <col min="19" max="19" width="16.109375" customWidth="1"/>
    <col min="20" max="20" width="6.44140625" bestFit="1" customWidth="1"/>
    <col min="21" max="21" width="7.109375" bestFit="1" customWidth="1"/>
    <col min="22" max="22" width="16.109375" customWidth="1"/>
    <col min="23" max="23" width="6.44140625" bestFit="1" customWidth="1"/>
    <col min="24" max="24" width="7.109375" bestFit="1" customWidth="1"/>
  </cols>
  <sheetData>
    <row r="1" spans="1:24" x14ac:dyDescent="0.3">
      <c r="A1" s="135" t="s">
        <v>58</v>
      </c>
      <c r="B1" s="135" t="s">
        <v>59</v>
      </c>
      <c r="C1" s="135" t="s">
        <v>60</v>
      </c>
      <c r="D1" s="136" t="s">
        <v>61</v>
      </c>
      <c r="E1" s="136"/>
      <c r="F1" s="136"/>
      <c r="G1" s="137" t="s">
        <v>62</v>
      </c>
      <c r="H1" s="137"/>
      <c r="I1" s="137"/>
      <c r="J1" s="137"/>
      <c r="K1" s="137"/>
      <c r="L1" s="137"/>
      <c r="M1" s="138" t="s">
        <v>0</v>
      </c>
      <c r="N1" s="138"/>
      <c r="O1" s="138"/>
      <c r="P1" s="136" t="s">
        <v>1</v>
      </c>
      <c r="Q1" s="136"/>
      <c r="R1" s="136"/>
      <c r="S1" s="139" t="s">
        <v>2</v>
      </c>
      <c r="T1" s="139"/>
      <c r="U1" s="139"/>
      <c r="V1" s="134" t="s">
        <v>3</v>
      </c>
      <c r="W1" s="134"/>
      <c r="X1" s="134"/>
    </row>
    <row r="2" spans="1:24" x14ac:dyDescent="0.3">
      <c r="A2" s="135"/>
      <c r="B2" s="135"/>
      <c r="C2" s="135"/>
      <c r="D2" s="6" t="s">
        <v>63</v>
      </c>
      <c r="E2" s="6" t="s">
        <v>64</v>
      </c>
      <c r="F2" s="6" t="s">
        <v>65</v>
      </c>
      <c r="G2" s="7" t="s">
        <v>63</v>
      </c>
      <c r="H2" s="7" t="s">
        <v>146</v>
      </c>
      <c r="I2" s="7" t="s">
        <v>147</v>
      </c>
      <c r="J2" s="7" t="s">
        <v>66</v>
      </c>
      <c r="K2" s="7" t="s">
        <v>64</v>
      </c>
      <c r="L2" s="7" t="s">
        <v>65</v>
      </c>
      <c r="M2" s="8" t="s">
        <v>63</v>
      </c>
      <c r="N2" s="8" t="s">
        <v>64</v>
      </c>
      <c r="O2" s="8" t="s">
        <v>65</v>
      </c>
      <c r="P2" s="6" t="s">
        <v>63</v>
      </c>
      <c r="Q2" s="6" t="s">
        <v>64</v>
      </c>
      <c r="R2" s="6" t="s">
        <v>65</v>
      </c>
      <c r="S2" s="9" t="s">
        <v>63</v>
      </c>
      <c r="T2" s="9" t="s">
        <v>64</v>
      </c>
      <c r="U2" s="9" t="s">
        <v>65</v>
      </c>
      <c r="V2" s="10" t="s">
        <v>63</v>
      </c>
      <c r="W2" s="10" t="s">
        <v>64</v>
      </c>
      <c r="X2" s="10" t="s">
        <v>65</v>
      </c>
    </row>
    <row r="3" spans="1:24" x14ac:dyDescent="0.3">
      <c r="A3" s="128" t="s">
        <v>71</v>
      </c>
      <c r="B3" s="12" t="s">
        <v>27</v>
      </c>
      <c r="C3" s="3">
        <v>75</v>
      </c>
      <c r="D3" s="1">
        <v>64</v>
      </c>
      <c r="E3" s="16">
        <f>ABS(C3-D3)/C3</f>
        <v>0.14666666666666667</v>
      </c>
      <c r="F3" s="1" t="b">
        <f>IF(E3&lt;=0.25,TRUE,FALSE)</f>
        <v>1</v>
      </c>
      <c r="G3" s="2">
        <v>64</v>
      </c>
      <c r="H3" s="17">
        <v>0.10722222222222222</v>
      </c>
      <c r="I3" s="17">
        <f>5*H3</f>
        <v>0.53611111111111109</v>
      </c>
      <c r="J3" s="2">
        <v>3</v>
      </c>
      <c r="K3" s="17">
        <f>ABS(C3-G3)/C3</f>
        <v>0.14666666666666667</v>
      </c>
      <c r="L3" s="2" t="b">
        <f>IF(K3&lt;=0.25,TRUE,FALSE)</f>
        <v>1</v>
      </c>
      <c r="M3" s="11">
        <v>44</v>
      </c>
      <c r="N3" s="18">
        <f>ABS(C3-M3)/C3</f>
        <v>0.41333333333333333</v>
      </c>
      <c r="O3" s="11" t="b">
        <f>IF(N3&lt;=0.25,TRUE,FALSE)</f>
        <v>0</v>
      </c>
      <c r="P3" s="1">
        <v>28</v>
      </c>
      <c r="Q3" s="16">
        <f>ABS(C3-P3)/C3</f>
        <v>0.62666666666666671</v>
      </c>
      <c r="R3" s="1" t="b">
        <f>IF(Q3&lt;=0.25,TRUE,FALSE)</f>
        <v>0</v>
      </c>
      <c r="S3" s="4">
        <v>66</v>
      </c>
      <c r="T3" s="21">
        <f>ABS(C3-S3)/C3</f>
        <v>0.12</v>
      </c>
      <c r="U3" s="4" t="b">
        <f>IF(T3&lt;=0.25,TRUE,FALSE)</f>
        <v>1</v>
      </c>
      <c r="V3" s="5">
        <v>37</v>
      </c>
      <c r="W3" s="20">
        <f>ABS(C3-V3)/C3</f>
        <v>0.50666666666666671</v>
      </c>
      <c r="X3" s="5" t="b">
        <f>IF(W3&lt;=0.25,TRUE,FALSE)</f>
        <v>0</v>
      </c>
    </row>
    <row r="4" spans="1:24" x14ac:dyDescent="0.3">
      <c r="A4" s="129"/>
      <c r="B4" s="12" t="s">
        <v>28</v>
      </c>
      <c r="C4" s="3">
        <v>35</v>
      </c>
      <c r="D4" s="1">
        <v>32</v>
      </c>
      <c r="E4" s="16">
        <f t="shared" ref="E4:E45" si="0">ABS(C4-D4)/C4</f>
        <v>8.5714285714285715E-2</v>
      </c>
      <c r="F4" s="1" t="b">
        <f t="shared" ref="F4:F35" si="1">IF(E4&lt;=0.25,TRUE,FALSE)</f>
        <v>1</v>
      </c>
      <c r="G4" s="2">
        <v>40</v>
      </c>
      <c r="H4" s="17">
        <v>0.13388888888888889</v>
      </c>
      <c r="I4" s="17">
        <f t="shared" ref="I4:I27" si="2">5*H4</f>
        <v>0.66944444444444451</v>
      </c>
      <c r="J4" s="2">
        <v>2</v>
      </c>
      <c r="K4" s="17">
        <f t="shared" ref="K4:K45" si="3">ABS(C4-G4)/C4</f>
        <v>0.14285714285714285</v>
      </c>
      <c r="L4" s="2" t="b">
        <f t="shared" ref="L4:L27" si="4">IF(K4&lt;=0.25,TRUE,FALSE)</f>
        <v>1</v>
      </c>
      <c r="M4" s="11">
        <v>38</v>
      </c>
      <c r="N4" s="18">
        <f t="shared" ref="N4:N35" si="5">ABS(C4-M4)/C4</f>
        <v>8.5714285714285715E-2</v>
      </c>
      <c r="O4" s="11" t="b">
        <f t="shared" ref="O4:O45" si="6">IF(N4&lt;=0.25,TRUE,FALSE)</f>
        <v>1</v>
      </c>
      <c r="P4" s="1">
        <v>50</v>
      </c>
      <c r="Q4" s="16">
        <f t="shared" ref="Q4:Q45" si="7">ABS(C4-P4)/C4</f>
        <v>0.42857142857142855</v>
      </c>
      <c r="R4" s="1" t="b">
        <f t="shared" ref="R4:R45" si="8">IF(Q4&lt;=0.25,TRUE,FALSE)</f>
        <v>0</v>
      </c>
      <c r="S4" s="4">
        <v>52</v>
      </c>
      <c r="T4" s="21">
        <f t="shared" ref="T4:T45" si="9">ABS(C4-S4)/C4</f>
        <v>0.48571428571428571</v>
      </c>
      <c r="U4" s="4" t="b">
        <f t="shared" ref="U4:U45" si="10">IF(T4&lt;=0.25,TRUE,FALSE)</f>
        <v>0</v>
      </c>
      <c r="V4" s="5">
        <v>32</v>
      </c>
      <c r="W4" s="20">
        <f t="shared" ref="W4:W45" si="11">ABS(C4-V4)/C4</f>
        <v>8.5714285714285715E-2</v>
      </c>
      <c r="X4" s="5" t="b">
        <f t="shared" ref="X4:X45" si="12">IF(W4&lt;=0.25,TRUE,FALSE)</f>
        <v>1</v>
      </c>
    </row>
    <row r="5" spans="1:24" x14ac:dyDescent="0.3">
      <c r="A5" s="129"/>
      <c r="B5" s="12" t="s">
        <v>29</v>
      </c>
      <c r="C5" s="3">
        <v>17.600000000000001</v>
      </c>
      <c r="D5" s="1">
        <v>16</v>
      </c>
      <c r="E5" s="16">
        <f t="shared" si="0"/>
        <v>9.0909090909090981E-2</v>
      </c>
      <c r="F5" s="1" t="b">
        <f t="shared" si="1"/>
        <v>1</v>
      </c>
      <c r="G5" s="2">
        <v>24</v>
      </c>
      <c r="H5" s="17">
        <v>0.10027777777777777</v>
      </c>
      <c r="I5" s="17">
        <f t="shared" si="2"/>
        <v>0.50138888888888888</v>
      </c>
      <c r="J5" s="2">
        <v>3</v>
      </c>
      <c r="K5" s="17">
        <f t="shared" si="3"/>
        <v>0.36363636363636354</v>
      </c>
      <c r="L5" s="2" t="b">
        <f t="shared" si="4"/>
        <v>0</v>
      </c>
      <c r="M5" s="11">
        <v>36</v>
      </c>
      <c r="N5" s="18">
        <f t="shared" si="5"/>
        <v>1.0454545454545452</v>
      </c>
      <c r="O5" s="11" t="b">
        <f t="shared" si="6"/>
        <v>0</v>
      </c>
      <c r="P5" s="1">
        <v>80</v>
      </c>
      <c r="Q5" s="16">
        <f t="shared" si="7"/>
        <v>3.545454545454545</v>
      </c>
      <c r="R5" s="1" t="b">
        <f t="shared" si="8"/>
        <v>0</v>
      </c>
      <c r="S5" s="4">
        <v>72</v>
      </c>
      <c r="T5" s="21">
        <f t="shared" si="9"/>
        <v>3.0909090909090904</v>
      </c>
      <c r="U5" s="4" t="b">
        <f t="shared" si="10"/>
        <v>0</v>
      </c>
      <c r="V5" s="5">
        <v>58</v>
      </c>
      <c r="W5" s="20">
        <f t="shared" si="11"/>
        <v>2.295454545454545</v>
      </c>
      <c r="X5" s="5" t="b">
        <f t="shared" si="12"/>
        <v>0</v>
      </c>
    </row>
    <row r="6" spans="1:24" x14ac:dyDescent="0.3">
      <c r="A6" s="129"/>
      <c r="B6" s="12" t="s">
        <v>30</v>
      </c>
      <c r="C6" s="3">
        <v>45</v>
      </c>
      <c r="D6" s="1">
        <v>50</v>
      </c>
      <c r="E6" s="16">
        <f t="shared" si="0"/>
        <v>0.1111111111111111</v>
      </c>
      <c r="F6" s="1" t="b">
        <f t="shared" si="1"/>
        <v>1</v>
      </c>
      <c r="G6" s="2">
        <v>64</v>
      </c>
      <c r="H6" s="17">
        <v>0.15138888888888888</v>
      </c>
      <c r="I6" s="17">
        <f t="shared" si="2"/>
        <v>0.75694444444444442</v>
      </c>
      <c r="J6" s="2">
        <v>2</v>
      </c>
      <c r="K6" s="17">
        <f t="shared" si="3"/>
        <v>0.42222222222222222</v>
      </c>
      <c r="L6" s="2" t="b">
        <f t="shared" si="4"/>
        <v>0</v>
      </c>
      <c r="M6" s="11">
        <v>25</v>
      </c>
      <c r="N6" s="18">
        <f t="shared" si="5"/>
        <v>0.44444444444444442</v>
      </c>
      <c r="O6" s="11" t="b">
        <f t="shared" si="6"/>
        <v>0</v>
      </c>
      <c r="P6" s="1">
        <v>36</v>
      </c>
      <c r="Q6" s="16">
        <f t="shared" si="7"/>
        <v>0.2</v>
      </c>
      <c r="R6" s="1" t="b">
        <f t="shared" si="8"/>
        <v>1</v>
      </c>
      <c r="S6" s="4">
        <v>50</v>
      </c>
      <c r="T6" s="21">
        <f t="shared" si="9"/>
        <v>0.1111111111111111</v>
      </c>
      <c r="U6" s="4" t="b">
        <f t="shared" si="10"/>
        <v>1</v>
      </c>
      <c r="V6" s="5">
        <v>44</v>
      </c>
      <c r="W6" s="20">
        <f t="shared" si="11"/>
        <v>2.2222222222222223E-2</v>
      </c>
      <c r="X6" s="5" t="b">
        <f t="shared" si="12"/>
        <v>1</v>
      </c>
    </row>
    <row r="7" spans="1:24" x14ac:dyDescent="0.3">
      <c r="A7" s="129"/>
      <c r="B7" s="12" t="s">
        <v>31</v>
      </c>
      <c r="C7" s="3">
        <v>25.2</v>
      </c>
      <c r="D7" s="1">
        <v>24</v>
      </c>
      <c r="E7" s="16">
        <f t="shared" si="0"/>
        <v>4.7619047619047596E-2</v>
      </c>
      <c r="F7" s="1" t="b">
        <f t="shared" si="1"/>
        <v>1</v>
      </c>
      <c r="G7" s="2">
        <v>24</v>
      </c>
      <c r="H7" s="17">
        <v>9.5000000000000001E-2</v>
      </c>
      <c r="I7" s="17">
        <f t="shared" si="2"/>
        <v>0.47499999999999998</v>
      </c>
      <c r="J7" s="2">
        <v>2</v>
      </c>
      <c r="K7" s="17">
        <f t="shared" si="3"/>
        <v>4.7619047619047596E-2</v>
      </c>
      <c r="L7" s="2" t="b">
        <f t="shared" si="4"/>
        <v>1</v>
      </c>
      <c r="M7" s="11">
        <v>56</v>
      </c>
      <c r="N7" s="18">
        <f t="shared" si="5"/>
        <v>1.2222222222222223</v>
      </c>
      <c r="O7" s="11" t="b">
        <f t="shared" si="6"/>
        <v>0</v>
      </c>
      <c r="P7" s="1">
        <v>62</v>
      </c>
      <c r="Q7" s="16">
        <f t="shared" si="7"/>
        <v>1.4603174603174602</v>
      </c>
      <c r="R7" s="1" t="b">
        <f t="shared" si="8"/>
        <v>0</v>
      </c>
      <c r="S7" s="4">
        <v>77</v>
      </c>
      <c r="T7" s="21">
        <f t="shared" si="9"/>
        <v>2.0555555555555554</v>
      </c>
      <c r="U7" s="4" t="b">
        <f t="shared" si="10"/>
        <v>0</v>
      </c>
      <c r="V7" s="5">
        <v>96</v>
      </c>
      <c r="W7" s="20">
        <f t="shared" si="11"/>
        <v>2.8095238095238093</v>
      </c>
      <c r="X7" s="5" t="b">
        <f t="shared" si="12"/>
        <v>0</v>
      </c>
    </row>
    <row r="8" spans="1:24" x14ac:dyDescent="0.3">
      <c r="A8" s="129"/>
      <c r="B8" s="12" t="s">
        <v>32</v>
      </c>
      <c r="C8" s="3">
        <v>71.3</v>
      </c>
      <c r="D8" s="1">
        <v>64</v>
      </c>
      <c r="E8" s="16">
        <f t="shared" si="0"/>
        <v>0.10238429172510516</v>
      </c>
      <c r="F8" s="1" t="b">
        <f t="shared" si="1"/>
        <v>1</v>
      </c>
      <c r="G8" s="2">
        <v>64</v>
      </c>
      <c r="H8" s="17">
        <v>0.13750000000000001</v>
      </c>
      <c r="I8" s="17">
        <f t="shared" si="2"/>
        <v>0.6875</v>
      </c>
      <c r="J8" s="2">
        <v>2</v>
      </c>
      <c r="K8" s="17">
        <f t="shared" si="3"/>
        <v>0.10238429172510516</v>
      </c>
      <c r="L8" s="2" t="b">
        <f t="shared" si="4"/>
        <v>1</v>
      </c>
      <c r="M8" s="11">
        <v>44</v>
      </c>
      <c r="N8" s="18">
        <f t="shared" si="5"/>
        <v>0.38288920056100978</v>
      </c>
      <c r="O8" s="11" t="b">
        <f t="shared" si="6"/>
        <v>0</v>
      </c>
      <c r="P8" s="1">
        <v>56</v>
      </c>
      <c r="Q8" s="16">
        <f t="shared" si="7"/>
        <v>0.21458625525946701</v>
      </c>
      <c r="R8" s="1" t="b">
        <f t="shared" si="8"/>
        <v>1</v>
      </c>
      <c r="S8" s="4">
        <v>41</v>
      </c>
      <c r="T8" s="21">
        <f t="shared" si="9"/>
        <v>0.42496493688639547</v>
      </c>
      <c r="U8" s="4" t="b">
        <f t="shared" si="10"/>
        <v>0</v>
      </c>
      <c r="V8" s="5">
        <v>100</v>
      </c>
      <c r="W8" s="20">
        <f t="shared" si="11"/>
        <v>0.40252454417952321</v>
      </c>
      <c r="X8" s="5" t="b">
        <f t="shared" si="12"/>
        <v>0</v>
      </c>
    </row>
    <row r="9" spans="1:24" x14ac:dyDescent="0.3">
      <c r="A9" s="129"/>
      <c r="B9" s="12" t="s">
        <v>33</v>
      </c>
      <c r="C9" s="3">
        <v>15.5</v>
      </c>
      <c r="D9" s="1">
        <v>20</v>
      </c>
      <c r="E9" s="16">
        <f t="shared" si="0"/>
        <v>0.29032258064516131</v>
      </c>
      <c r="F9" s="1" t="b">
        <f t="shared" si="1"/>
        <v>0</v>
      </c>
      <c r="G9" s="2">
        <v>24</v>
      </c>
      <c r="H9" s="17">
        <v>9.4166666666666662E-2</v>
      </c>
      <c r="I9" s="17">
        <f t="shared" si="2"/>
        <v>0.47083333333333333</v>
      </c>
      <c r="J9" s="2">
        <v>2</v>
      </c>
      <c r="K9" s="17">
        <f t="shared" si="3"/>
        <v>0.54838709677419351</v>
      </c>
      <c r="L9" s="2" t="b">
        <f t="shared" si="4"/>
        <v>0</v>
      </c>
      <c r="M9" s="11">
        <v>38</v>
      </c>
      <c r="N9" s="18">
        <f t="shared" si="5"/>
        <v>1.4516129032258065</v>
      </c>
      <c r="O9" s="11" t="b">
        <f t="shared" si="6"/>
        <v>0</v>
      </c>
      <c r="P9" s="1">
        <v>38</v>
      </c>
      <c r="Q9" s="16">
        <f t="shared" si="7"/>
        <v>1.4516129032258065</v>
      </c>
      <c r="R9" s="1" t="b">
        <f t="shared" si="8"/>
        <v>0</v>
      </c>
      <c r="S9" s="4">
        <v>22</v>
      </c>
      <c r="T9" s="21">
        <f t="shared" si="9"/>
        <v>0.41935483870967744</v>
      </c>
      <c r="U9" s="4" t="b">
        <f t="shared" si="10"/>
        <v>0</v>
      </c>
      <c r="V9" s="5">
        <v>40</v>
      </c>
      <c r="W9" s="20">
        <f t="shared" si="11"/>
        <v>1.5806451612903225</v>
      </c>
      <c r="X9" s="5" t="b">
        <f t="shared" si="12"/>
        <v>0</v>
      </c>
    </row>
    <row r="10" spans="1:24" x14ac:dyDescent="0.3">
      <c r="A10" s="129"/>
      <c r="B10" s="12" t="s">
        <v>34</v>
      </c>
      <c r="C10" s="3">
        <v>22.5</v>
      </c>
      <c r="D10" s="1">
        <v>32</v>
      </c>
      <c r="E10" s="16">
        <f t="shared" si="0"/>
        <v>0.42222222222222222</v>
      </c>
      <c r="F10" s="1" t="b">
        <f t="shared" si="1"/>
        <v>0</v>
      </c>
      <c r="G10" s="13">
        <v>64</v>
      </c>
      <c r="H10" s="17">
        <v>0.12416666666666666</v>
      </c>
      <c r="I10" s="17">
        <f t="shared" si="2"/>
        <v>0.62083333333333335</v>
      </c>
      <c r="J10" s="2">
        <v>2</v>
      </c>
      <c r="K10" s="17">
        <f t="shared" si="3"/>
        <v>1.8444444444444446</v>
      </c>
      <c r="L10" s="2" t="b">
        <f t="shared" si="4"/>
        <v>0</v>
      </c>
      <c r="M10" s="11">
        <v>36</v>
      </c>
      <c r="N10" s="18">
        <f t="shared" si="5"/>
        <v>0.6</v>
      </c>
      <c r="O10" s="11" t="b">
        <f t="shared" si="6"/>
        <v>0</v>
      </c>
      <c r="P10" s="1">
        <v>30</v>
      </c>
      <c r="Q10" s="16">
        <f t="shared" si="7"/>
        <v>0.33333333333333331</v>
      </c>
      <c r="R10" s="1" t="b">
        <f t="shared" si="8"/>
        <v>0</v>
      </c>
      <c r="S10" s="4">
        <v>30</v>
      </c>
      <c r="T10" s="21">
        <f t="shared" si="9"/>
        <v>0.33333333333333331</v>
      </c>
      <c r="U10" s="4" t="b">
        <f t="shared" si="10"/>
        <v>0</v>
      </c>
      <c r="V10" s="5">
        <v>56</v>
      </c>
      <c r="W10" s="20">
        <f t="shared" si="11"/>
        <v>1.4888888888888889</v>
      </c>
      <c r="X10" s="5" t="b">
        <f t="shared" si="12"/>
        <v>0</v>
      </c>
    </row>
    <row r="11" spans="1:24" x14ac:dyDescent="0.3">
      <c r="A11" s="129"/>
      <c r="B11" s="12" t="s">
        <v>35</v>
      </c>
      <c r="C11" s="3">
        <v>20.2</v>
      </c>
      <c r="D11" s="1">
        <v>20</v>
      </c>
      <c r="E11" s="16">
        <f t="shared" si="0"/>
        <v>9.9009900990098664E-3</v>
      </c>
      <c r="F11" s="1" t="b">
        <f t="shared" si="1"/>
        <v>1</v>
      </c>
      <c r="G11" s="2">
        <v>24</v>
      </c>
      <c r="H11" s="17">
        <v>9.0555555555555556E-2</v>
      </c>
      <c r="I11" s="17">
        <f t="shared" si="2"/>
        <v>0.45277777777777778</v>
      </c>
      <c r="J11" s="2">
        <v>2</v>
      </c>
      <c r="K11" s="17">
        <f t="shared" si="3"/>
        <v>0.18811881188118815</v>
      </c>
      <c r="L11" s="2" t="b">
        <f t="shared" si="4"/>
        <v>1</v>
      </c>
      <c r="M11" s="11">
        <v>36</v>
      </c>
      <c r="N11" s="18">
        <f t="shared" si="5"/>
        <v>0.78217821782178221</v>
      </c>
      <c r="O11" s="11" t="b">
        <f t="shared" si="6"/>
        <v>0</v>
      </c>
      <c r="P11" s="1">
        <v>32</v>
      </c>
      <c r="Q11" s="16">
        <f t="shared" si="7"/>
        <v>0.58415841584158423</v>
      </c>
      <c r="R11" s="1" t="b">
        <f t="shared" si="8"/>
        <v>0</v>
      </c>
      <c r="S11" s="4">
        <v>40</v>
      </c>
      <c r="T11" s="21">
        <f t="shared" si="9"/>
        <v>0.98019801980198029</v>
      </c>
      <c r="U11" s="4" t="b">
        <f t="shared" si="10"/>
        <v>0</v>
      </c>
      <c r="V11" s="5">
        <v>56</v>
      </c>
      <c r="W11" s="20">
        <f t="shared" si="11"/>
        <v>1.7722772277227723</v>
      </c>
      <c r="X11" s="5" t="b">
        <f t="shared" si="12"/>
        <v>0</v>
      </c>
    </row>
    <row r="12" spans="1:24" x14ac:dyDescent="0.3">
      <c r="A12" s="129"/>
      <c r="B12" s="12" t="s">
        <v>36</v>
      </c>
      <c r="C12" s="3">
        <v>40.5</v>
      </c>
      <c r="D12" s="1">
        <v>36</v>
      </c>
      <c r="E12" s="16">
        <f t="shared" si="0"/>
        <v>0.1111111111111111</v>
      </c>
      <c r="F12" s="1" t="b">
        <f t="shared" si="1"/>
        <v>1</v>
      </c>
      <c r="G12" s="2">
        <v>64</v>
      </c>
      <c r="H12" s="17">
        <v>0.13777777777777778</v>
      </c>
      <c r="I12" s="17">
        <f t="shared" si="2"/>
        <v>0.68888888888888888</v>
      </c>
      <c r="J12" s="2">
        <v>2</v>
      </c>
      <c r="K12" s="17">
        <f t="shared" si="3"/>
        <v>0.58024691358024694</v>
      </c>
      <c r="L12" s="2" t="b">
        <f t="shared" si="4"/>
        <v>0</v>
      </c>
      <c r="M12" s="11">
        <v>38</v>
      </c>
      <c r="N12" s="18">
        <f t="shared" si="5"/>
        <v>6.1728395061728392E-2</v>
      </c>
      <c r="O12" s="11" t="b">
        <f t="shared" si="6"/>
        <v>1</v>
      </c>
      <c r="P12" s="1">
        <v>50</v>
      </c>
      <c r="Q12" s="16">
        <f t="shared" si="7"/>
        <v>0.23456790123456789</v>
      </c>
      <c r="R12" s="1" t="b">
        <f t="shared" si="8"/>
        <v>1</v>
      </c>
      <c r="S12" s="4">
        <v>72</v>
      </c>
      <c r="T12" s="21">
        <f t="shared" si="9"/>
        <v>0.77777777777777779</v>
      </c>
      <c r="U12" s="4" t="b">
        <f t="shared" si="10"/>
        <v>0</v>
      </c>
      <c r="V12" s="5">
        <v>168</v>
      </c>
      <c r="W12" s="20">
        <f t="shared" si="11"/>
        <v>3.1481481481481484</v>
      </c>
      <c r="X12" s="5" t="b">
        <f t="shared" si="12"/>
        <v>0</v>
      </c>
    </row>
    <row r="13" spans="1:24" x14ac:dyDescent="0.3">
      <c r="A13" s="130"/>
      <c r="B13" s="12" t="s">
        <v>37</v>
      </c>
      <c r="C13" s="3">
        <v>77.3</v>
      </c>
      <c r="D13" s="1">
        <v>60</v>
      </c>
      <c r="E13" s="16">
        <f t="shared" si="0"/>
        <v>0.22380336351875807</v>
      </c>
      <c r="F13" s="1" t="b">
        <f t="shared" si="1"/>
        <v>1</v>
      </c>
      <c r="G13" s="2">
        <v>64</v>
      </c>
      <c r="H13" s="17">
        <v>0.10861111111111112</v>
      </c>
      <c r="I13" s="17">
        <f t="shared" si="2"/>
        <v>0.54305555555555562</v>
      </c>
      <c r="J13" s="2">
        <v>3</v>
      </c>
      <c r="K13" s="17">
        <f t="shared" si="3"/>
        <v>0.17205692108667525</v>
      </c>
      <c r="L13" s="2" t="b">
        <f t="shared" si="4"/>
        <v>1</v>
      </c>
      <c r="M13" s="11">
        <v>38</v>
      </c>
      <c r="N13" s="18">
        <f t="shared" si="5"/>
        <v>0.50840879689521346</v>
      </c>
      <c r="O13" s="11" t="b">
        <f t="shared" si="6"/>
        <v>0</v>
      </c>
      <c r="P13" s="1">
        <v>68</v>
      </c>
      <c r="Q13" s="16">
        <f t="shared" si="7"/>
        <v>0.12031047865459246</v>
      </c>
      <c r="R13" s="1" t="b">
        <f t="shared" si="8"/>
        <v>1</v>
      </c>
      <c r="S13" s="4">
        <v>75</v>
      </c>
      <c r="T13" s="21">
        <f t="shared" si="9"/>
        <v>2.9754204398447569E-2</v>
      </c>
      <c r="U13" s="4" t="b">
        <f t="shared" si="10"/>
        <v>1</v>
      </c>
      <c r="V13" s="5">
        <v>60</v>
      </c>
      <c r="W13" s="20">
        <f t="shared" si="11"/>
        <v>0.22380336351875807</v>
      </c>
      <c r="X13" s="5" t="b">
        <f t="shared" si="12"/>
        <v>1</v>
      </c>
    </row>
    <row r="14" spans="1:24" x14ac:dyDescent="0.3">
      <c r="A14" s="24" t="s">
        <v>68</v>
      </c>
      <c r="B14" s="12"/>
      <c r="C14" s="12">
        <f>SUM(C3:C13)</f>
        <v>445.09999999999997</v>
      </c>
      <c r="D14" s="6">
        <f>SUM(D3:D13)</f>
        <v>418</v>
      </c>
      <c r="E14" s="26">
        <f>AVERAGE(E3:E13)</f>
        <v>0.14925134194014272</v>
      </c>
      <c r="F14" s="26">
        <f>(COUNTIF(F3:F13, TRUE))/(ROWS(B3:B13))</f>
        <v>0.81818181818181823</v>
      </c>
      <c r="G14" s="7">
        <f>SUM(G3:G13)</f>
        <v>520</v>
      </c>
      <c r="H14" s="27">
        <f>SUM(H3:H13)</f>
        <v>1.2805555555555554</v>
      </c>
      <c r="I14" s="27">
        <f>SUM(I3:I13)</f>
        <v>6.4027777777777786</v>
      </c>
      <c r="J14" s="7">
        <f>SUM(J3:J13)</f>
        <v>25</v>
      </c>
      <c r="K14" s="27">
        <f>AVERAGE(K3:K13)</f>
        <v>0.41442181113575421</v>
      </c>
      <c r="L14" s="27">
        <f>COUNTIF(L3:L13, TRUE)/ROWS(B3:B13)</f>
        <v>0.54545454545454541</v>
      </c>
      <c r="M14" s="8">
        <f>SUM(M3:M13)</f>
        <v>429</v>
      </c>
      <c r="N14" s="28">
        <f>AVERAGE(N3:N13)</f>
        <v>0.63618057679403373</v>
      </c>
      <c r="O14" s="28">
        <f>COUNTIF(O3:O13,TRUE)/ROWS(B3:B13)</f>
        <v>0.18181818181818182</v>
      </c>
      <c r="P14" s="6">
        <f>SUM(P3:P13)</f>
        <v>530</v>
      </c>
      <c r="Q14" s="26">
        <f>AVERAGE(Q3:Q13)</f>
        <v>0.83632539895995028</v>
      </c>
      <c r="R14" s="26">
        <f>COUNTIF(R3:R13, TRUE)/ROWS(B3:B13)</f>
        <v>0.36363636363636365</v>
      </c>
      <c r="S14" s="9">
        <f>SUM(S3:S13)</f>
        <v>597</v>
      </c>
      <c r="T14" s="29">
        <f>AVERAGE(T3:T13)</f>
        <v>0.80260665038160495</v>
      </c>
      <c r="U14" s="29">
        <f>COUNTIF(U3:U13, TRUE)/ROWS(B3:B13)</f>
        <v>0.27272727272727271</v>
      </c>
      <c r="V14" s="10">
        <f>SUM(V3:V13)</f>
        <v>747</v>
      </c>
      <c r="W14" s="30">
        <f>AVERAGE(W3:W13)</f>
        <v>1.3032608057572677</v>
      </c>
      <c r="X14" s="30">
        <f>COUNTIF(X3:X13, TRUE)/ROWS(B3:B13)</f>
        <v>0.27272727272727271</v>
      </c>
    </row>
    <row r="15" spans="1:24" x14ac:dyDescent="0.3">
      <c r="A15" s="128" t="s">
        <v>72</v>
      </c>
      <c r="B15" s="12" t="s">
        <v>38</v>
      </c>
      <c r="C15" s="3">
        <v>74</v>
      </c>
      <c r="D15" s="1">
        <v>48</v>
      </c>
      <c r="E15" s="16">
        <f t="shared" si="0"/>
        <v>0.35135135135135137</v>
      </c>
      <c r="F15" s="1" t="b">
        <f t="shared" si="1"/>
        <v>0</v>
      </c>
      <c r="G15" s="2">
        <v>64</v>
      </c>
      <c r="H15" s="17">
        <v>0.10694444444444444</v>
      </c>
      <c r="I15" s="17">
        <f t="shared" si="2"/>
        <v>0.53472222222222221</v>
      </c>
      <c r="J15" s="2">
        <v>2</v>
      </c>
      <c r="K15" s="17">
        <f t="shared" si="3"/>
        <v>0.13513513513513514</v>
      </c>
      <c r="L15" s="2" t="b">
        <f t="shared" si="4"/>
        <v>1</v>
      </c>
      <c r="M15" s="11">
        <v>37</v>
      </c>
      <c r="N15" s="18">
        <f t="shared" si="5"/>
        <v>0.5</v>
      </c>
      <c r="O15" s="11" t="b">
        <f t="shared" si="6"/>
        <v>0</v>
      </c>
      <c r="P15" s="1">
        <v>80</v>
      </c>
      <c r="Q15" s="16">
        <f t="shared" si="7"/>
        <v>8.1081081081081086E-2</v>
      </c>
      <c r="R15" s="1" t="b">
        <f t="shared" si="8"/>
        <v>1</v>
      </c>
      <c r="S15" s="4">
        <v>102</v>
      </c>
      <c r="T15" s="21">
        <f t="shared" si="9"/>
        <v>0.3783783783783784</v>
      </c>
      <c r="U15" s="4" t="b">
        <f t="shared" si="10"/>
        <v>0</v>
      </c>
      <c r="V15" s="5">
        <v>90</v>
      </c>
      <c r="W15" s="20">
        <f t="shared" si="11"/>
        <v>0.21621621621621623</v>
      </c>
      <c r="X15" s="5" t="b">
        <f t="shared" si="12"/>
        <v>1</v>
      </c>
    </row>
    <row r="16" spans="1:24" x14ac:dyDescent="0.3">
      <c r="A16" s="129"/>
      <c r="B16" s="12" t="s">
        <v>39</v>
      </c>
      <c r="C16" s="3">
        <v>53.2</v>
      </c>
      <c r="D16" s="1">
        <v>35</v>
      </c>
      <c r="E16" s="16">
        <f t="shared" si="0"/>
        <v>0.34210526315789475</v>
      </c>
      <c r="F16" s="1" t="b">
        <f t="shared" si="1"/>
        <v>0</v>
      </c>
      <c r="G16" s="2">
        <v>40</v>
      </c>
      <c r="H16" s="17">
        <v>7.3055555555555554E-2</v>
      </c>
      <c r="I16" s="17">
        <f t="shared" si="2"/>
        <v>0.36527777777777776</v>
      </c>
      <c r="J16" s="2">
        <v>2</v>
      </c>
      <c r="K16" s="17">
        <f t="shared" si="3"/>
        <v>0.24812030075187974</v>
      </c>
      <c r="L16" s="2" t="b">
        <f t="shared" si="4"/>
        <v>1</v>
      </c>
      <c r="M16" s="11">
        <v>34</v>
      </c>
      <c r="N16" s="18">
        <f t="shared" si="5"/>
        <v>0.36090225563909778</v>
      </c>
      <c r="O16" s="11" t="b">
        <f t="shared" si="6"/>
        <v>0</v>
      </c>
      <c r="P16" s="1">
        <v>32</v>
      </c>
      <c r="Q16" s="16">
        <f t="shared" si="7"/>
        <v>0.39849624060150379</v>
      </c>
      <c r="R16" s="1" t="b">
        <f t="shared" si="8"/>
        <v>0</v>
      </c>
      <c r="S16" s="4">
        <v>57</v>
      </c>
      <c r="T16" s="21">
        <f t="shared" si="9"/>
        <v>7.1428571428571369E-2</v>
      </c>
      <c r="U16" s="4" t="b">
        <f t="shared" si="10"/>
        <v>1</v>
      </c>
      <c r="V16" s="5">
        <v>48</v>
      </c>
      <c r="W16" s="20">
        <f t="shared" si="11"/>
        <v>9.7744360902255689E-2</v>
      </c>
      <c r="X16" s="5" t="b">
        <f t="shared" si="12"/>
        <v>1</v>
      </c>
    </row>
    <row r="17" spans="1:24" x14ac:dyDescent="0.3">
      <c r="A17" s="129"/>
      <c r="B17" s="12" t="s">
        <v>40</v>
      </c>
      <c r="C17" s="3">
        <v>107.5</v>
      </c>
      <c r="D17" s="1">
        <v>60</v>
      </c>
      <c r="E17" s="16">
        <f t="shared" si="0"/>
        <v>0.44186046511627908</v>
      </c>
      <c r="F17" s="1" t="b">
        <f t="shared" si="1"/>
        <v>0</v>
      </c>
      <c r="G17" s="2">
        <v>104</v>
      </c>
      <c r="H17" s="17">
        <v>0.11666666666666667</v>
      </c>
      <c r="I17" s="17">
        <f t="shared" si="2"/>
        <v>0.58333333333333337</v>
      </c>
      <c r="J17" s="2">
        <v>2</v>
      </c>
      <c r="K17" s="17">
        <f t="shared" si="3"/>
        <v>3.255813953488372E-2</v>
      </c>
      <c r="L17" s="2" t="b">
        <f t="shared" si="4"/>
        <v>1</v>
      </c>
      <c r="M17" s="11">
        <v>34</v>
      </c>
      <c r="N17" s="18">
        <f t="shared" si="5"/>
        <v>0.68372093023255809</v>
      </c>
      <c r="O17" s="11" t="b">
        <f t="shared" si="6"/>
        <v>0</v>
      </c>
      <c r="P17" s="1">
        <v>28</v>
      </c>
      <c r="Q17" s="16">
        <f t="shared" si="7"/>
        <v>0.73953488372093024</v>
      </c>
      <c r="R17" s="1" t="b">
        <f t="shared" si="8"/>
        <v>0</v>
      </c>
      <c r="S17" s="4">
        <v>68</v>
      </c>
      <c r="T17" s="21">
        <f t="shared" si="9"/>
        <v>0.36744186046511629</v>
      </c>
      <c r="U17" s="4" t="b">
        <f t="shared" si="10"/>
        <v>0</v>
      </c>
      <c r="V17" s="5">
        <v>44</v>
      </c>
      <c r="W17" s="20">
        <f t="shared" si="11"/>
        <v>0.59069767441860466</v>
      </c>
      <c r="X17" s="5" t="b">
        <f t="shared" si="12"/>
        <v>0</v>
      </c>
    </row>
    <row r="18" spans="1:24" x14ac:dyDescent="0.3">
      <c r="A18" s="129"/>
      <c r="B18" s="12" t="s">
        <v>41</v>
      </c>
      <c r="C18" s="3">
        <v>80.5</v>
      </c>
      <c r="D18" s="1">
        <v>55</v>
      </c>
      <c r="E18" s="16">
        <f t="shared" si="0"/>
        <v>0.31677018633540371</v>
      </c>
      <c r="F18" s="1" t="b">
        <f t="shared" si="1"/>
        <v>0</v>
      </c>
      <c r="G18" s="2">
        <v>64</v>
      </c>
      <c r="H18" s="17">
        <v>0.11916666666666667</v>
      </c>
      <c r="I18" s="17">
        <f t="shared" si="2"/>
        <v>0.59583333333333333</v>
      </c>
      <c r="J18" s="2">
        <v>3</v>
      </c>
      <c r="K18" s="17">
        <f t="shared" si="3"/>
        <v>0.20496894409937888</v>
      </c>
      <c r="L18" s="2" t="b">
        <f t="shared" si="4"/>
        <v>1</v>
      </c>
      <c r="M18" s="11">
        <v>30</v>
      </c>
      <c r="N18" s="18">
        <f t="shared" si="5"/>
        <v>0.62732919254658381</v>
      </c>
      <c r="O18" s="11" t="b">
        <f t="shared" si="6"/>
        <v>0</v>
      </c>
      <c r="P18" s="1">
        <v>95</v>
      </c>
      <c r="Q18" s="16">
        <f t="shared" si="7"/>
        <v>0.18012422360248448</v>
      </c>
      <c r="R18" s="1" t="b">
        <f t="shared" si="8"/>
        <v>1</v>
      </c>
      <c r="S18" s="4">
        <v>62</v>
      </c>
      <c r="T18" s="21">
        <f t="shared" si="9"/>
        <v>0.22981366459627328</v>
      </c>
      <c r="U18" s="4" t="b">
        <f t="shared" si="10"/>
        <v>1</v>
      </c>
      <c r="V18" s="5">
        <v>80</v>
      </c>
      <c r="W18" s="20">
        <f t="shared" si="11"/>
        <v>6.2111801242236021E-3</v>
      </c>
      <c r="X18" s="5" t="b">
        <f t="shared" si="12"/>
        <v>1</v>
      </c>
    </row>
    <row r="19" spans="1:24" x14ac:dyDescent="0.3">
      <c r="A19" s="129"/>
      <c r="B19" s="12" t="s">
        <v>42</v>
      </c>
      <c r="C19" s="3">
        <v>51</v>
      </c>
      <c r="D19" s="1">
        <v>44</v>
      </c>
      <c r="E19" s="16">
        <f t="shared" si="0"/>
        <v>0.13725490196078433</v>
      </c>
      <c r="F19" s="1" t="b">
        <f t="shared" si="1"/>
        <v>1</v>
      </c>
      <c r="G19" s="2">
        <v>40</v>
      </c>
      <c r="H19" s="17">
        <v>9.5277777777777781E-2</v>
      </c>
      <c r="I19" s="17">
        <f t="shared" si="2"/>
        <v>0.47638888888888892</v>
      </c>
      <c r="J19" s="2">
        <v>2</v>
      </c>
      <c r="K19" s="17">
        <f t="shared" si="3"/>
        <v>0.21568627450980393</v>
      </c>
      <c r="L19" s="2" t="b">
        <f t="shared" si="4"/>
        <v>1</v>
      </c>
      <c r="M19" s="11">
        <v>50</v>
      </c>
      <c r="N19" s="18">
        <f t="shared" si="5"/>
        <v>1.9607843137254902E-2</v>
      </c>
      <c r="O19" s="11" t="b">
        <f t="shared" si="6"/>
        <v>1</v>
      </c>
      <c r="P19" s="1">
        <v>56</v>
      </c>
      <c r="Q19" s="16">
        <f t="shared" si="7"/>
        <v>9.8039215686274508E-2</v>
      </c>
      <c r="R19" s="1" t="b">
        <f t="shared" si="8"/>
        <v>1</v>
      </c>
      <c r="S19" s="4">
        <v>74</v>
      </c>
      <c r="T19" s="21">
        <f t="shared" si="9"/>
        <v>0.45098039215686275</v>
      </c>
      <c r="U19" s="4" t="b">
        <f t="shared" si="10"/>
        <v>0</v>
      </c>
      <c r="V19" s="5">
        <v>93</v>
      </c>
      <c r="W19" s="20">
        <f t="shared" si="11"/>
        <v>0.82352941176470584</v>
      </c>
      <c r="X19" s="5" t="b">
        <f t="shared" si="12"/>
        <v>0</v>
      </c>
    </row>
    <row r="20" spans="1:24" x14ac:dyDescent="0.3">
      <c r="A20" s="129"/>
      <c r="B20" s="12" t="s">
        <v>43</v>
      </c>
      <c r="C20" s="3">
        <v>31.5</v>
      </c>
      <c r="D20" s="1">
        <v>28</v>
      </c>
      <c r="E20" s="16">
        <f t="shared" si="0"/>
        <v>0.1111111111111111</v>
      </c>
      <c r="F20" s="1" t="b">
        <f t="shared" si="1"/>
        <v>1</v>
      </c>
      <c r="G20" s="2">
        <v>24</v>
      </c>
      <c r="H20" s="17">
        <v>0.10305555555555555</v>
      </c>
      <c r="I20" s="17">
        <f t="shared" si="2"/>
        <v>0.51527777777777772</v>
      </c>
      <c r="J20" s="2">
        <v>2</v>
      </c>
      <c r="K20" s="17">
        <f t="shared" si="3"/>
        <v>0.23809523809523808</v>
      </c>
      <c r="L20" s="2" t="b">
        <f t="shared" si="4"/>
        <v>1</v>
      </c>
      <c r="M20" s="11">
        <v>35</v>
      </c>
      <c r="N20" s="18">
        <f t="shared" si="5"/>
        <v>0.1111111111111111</v>
      </c>
      <c r="O20" s="11" t="b">
        <f t="shared" si="6"/>
        <v>1</v>
      </c>
      <c r="P20" s="1">
        <v>44</v>
      </c>
      <c r="Q20" s="16">
        <f t="shared" si="7"/>
        <v>0.3968253968253968</v>
      </c>
      <c r="R20" s="1" t="b">
        <f t="shared" si="8"/>
        <v>0</v>
      </c>
      <c r="S20" s="4">
        <v>24</v>
      </c>
      <c r="T20" s="21">
        <f t="shared" si="9"/>
        <v>0.23809523809523808</v>
      </c>
      <c r="U20" s="4" t="b">
        <f t="shared" si="10"/>
        <v>1</v>
      </c>
      <c r="V20" s="5">
        <v>46</v>
      </c>
      <c r="W20" s="20">
        <f t="shared" si="11"/>
        <v>0.46031746031746029</v>
      </c>
      <c r="X20" s="5" t="b">
        <f t="shared" si="12"/>
        <v>0</v>
      </c>
    </row>
    <row r="21" spans="1:24" x14ac:dyDescent="0.3">
      <c r="A21" s="129"/>
      <c r="B21" s="12" t="s">
        <v>44</v>
      </c>
      <c r="C21" s="3">
        <v>45</v>
      </c>
      <c r="D21" s="1">
        <v>30</v>
      </c>
      <c r="E21" s="16">
        <f t="shared" si="0"/>
        <v>0.33333333333333331</v>
      </c>
      <c r="F21" s="1" t="b">
        <f t="shared" si="1"/>
        <v>0</v>
      </c>
      <c r="G21" s="2">
        <v>40</v>
      </c>
      <c r="H21" s="17">
        <v>9.5000000000000001E-2</v>
      </c>
      <c r="I21" s="17">
        <f t="shared" si="2"/>
        <v>0.47499999999999998</v>
      </c>
      <c r="J21" s="2">
        <v>2</v>
      </c>
      <c r="K21" s="17">
        <f t="shared" si="3"/>
        <v>0.1111111111111111</v>
      </c>
      <c r="L21" s="2" t="b">
        <f t="shared" si="4"/>
        <v>1</v>
      </c>
      <c r="M21" s="11">
        <v>46</v>
      </c>
      <c r="N21" s="18">
        <f t="shared" si="5"/>
        <v>2.2222222222222223E-2</v>
      </c>
      <c r="O21" s="11" t="b">
        <f t="shared" si="6"/>
        <v>1</v>
      </c>
      <c r="P21" s="1">
        <v>68</v>
      </c>
      <c r="Q21" s="16">
        <f t="shared" si="7"/>
        <v>0.51111111111111107</v>
      </c>
      <c r="R21" s="1" t="b">
        <f t="shared" si="8"/>
        <v>0</v>
      </c>
      <c r="S21" s="4">
        <v>54</v>
      </c>
      <c r="T21" s="21">
        <f t="shared" si="9"/>
        <v>0.2</v>
      </c>
      <c r="U21" s="4" t="b">
        <f t="shared" si="10"/>
        <v>1</v>
      </c>
      <c r="V21" s="5">
        <v>74</v>
      </c>
      <c r="W21" s="20">
        <f t="shared" si="11"/>
        <v>0.64444444444444449</v>
      </c>
      <c r="X21" s="5" t="b">
        <f t="shared" si="12"/>
        <v>0</v>
      </c>
    </row>
    <row r="22" spans="1:24" x14ac:dyDescent="0.3">
      <c r="A22" s="129"/>
      <c r="B22" s="12" t="s">
        <v>45</v>
      </c>
      <c r="C22" s="3">
        <v>71.25</v>
      </c>
      <c r="D22" s="1">
        <v>50</v>
      </c>
      <c r="E22" s="16">
        <f t="shared" si="0"/>
        <v>0.2982456140350877</v>
      </c>
      <c r="F22" s="1" t="b">
        <f t="shared" si="1"/>
        <v>0</v>
      </c>
      <c r="G22" s="2">
        <v>64</v>
      </c>
      <c r="H22" s="17">
        <v>0.22055555555555556</v>
      </c>
      <c r="I22" s="17">
        <f t="shared" si="2"/>
        <v>1.1027777777777779</v>
      </c>
      <c r="J22" s="2">
        <v>3</v>
      </c>
      <c r="K22" s="17">
        <f t="shared" si="3"/>
        <v>0.10175438596491228</v>
      </c>
      <c r="L22" s="2" t="b">
        <f t="shared" si="4"/>
        <v>1</v>
      </c>
      <c r="M22" s="11">
        <v>42</v>
      </c>
      <c r="N22" s="18">
        <f t="shared" si="5"/>
        <v>0.41052631578947368</v>
      </c>
      <c r="O22" s="11" t="b">
        <f t="shared" si="6"/>
        <v>0</v>
      </c>
      <c r="P22" s="1">
        <v>72</v>
      </c>
      <c r="Q22" s="16">
        <f t="shared" si="7"/>
        <v>1.0526315789473684E-2</v>
      </c>
      <c r="R22" s="1" t="b">
        <f t="shared" si="8"/>
        <v>1</v>
      </c>
      <c r="S22" s="4">
        <v>40</v>
      </c>
      <c r="T22" s="21">
        <f t="shared" si="9"/>
        <v>0.43859649122807015</v>
      </c>
      <c r="U22" s="4" t="b">
        <f t="shared" si="10"/>
        <v>0</v>
      </c>
      <c r="V22" s="5">
        <v>184</v>
      </c>
      <c r="W22" s="20">
        <f t="shared" si="11"/>
        <v>1.5824561403508772</v>
      </c>
      <c r="X22" s="5" t="b">
        <f t="shared" si="12"/>
        <v>0</v>
      </c>
    </row>
    <row r="23" spans="1:24" x14ac:dyDescent="0.3">
      <c r="A23" s="129"/>
      <c r="B23" s="12" t="s">
        <v>46</v>
      </c>
      <c r="C23" s="3">
        <v>115.75</v>
      </c>
      <c r="D23" s="1">
        <v>88</v>
      </c>
      <c r="E23" s="16">
        <f t="shared" si="0"/>
        <v>0.23974082073434125</v>
      </c>
      <c r="F23" s="1" t="b">
        <f t="shared" si="1"/>
        <v>1</v>
      </c>
      <c r="G23" s="2">
        <v>104</v>
      </c>
      <c r="H23" s="17">
        <v>0.11749999999999999</v>
      </c>
      <c r="I23" s="17">
        <f t="shared" si="2"/>
        <v>0.58749999999999991</v>
      </c>
      <c r="J23" s="2">
        <v>3</v>
      </c>
      <c r="K23" s="17">
        <f t="shared" si="3"/>
        <v>0.10151187904967603</v>
      </c>
      <c r="L23" s="2" t="b">
        <f t="shared" si="4"/>
        <v>1</v>
      </c>
      <c r="M23" s="11">
        <v>38</v>
      </c>
      <c r="N23" s="18">
        <f t="shared" si="5"/>
        <v>0.67170626349892004</v>
      </c>
      <c r="O23" s="11" t="b">
        <f t="shared" si="6"/>
        <v>0</v>
      </c>
      <c r="P23" s="1">
        <v>72</v>
      </c>
      <c r="Q23" s="16">
        <f t="shared" si="7"/>
        <v>0.37796976241900648</v>
      </c>
      <c r="R23" s="1" t="b">
        <f t="shared" si="8"/>
        <v>0</v>
      </c>
      <c r="S23" s="4">
        <v>66</v>
      </c>
      <c r="T23" s="21">
        <f t="shared" si="9"/>
        <v>0.42980561555075592</v>
      </c>
      <c r="U23" s="4" t="b">
        <f t="shared" si="10"/>
        <v>0</v>
      </c>
      <c r="V23" s="5">
        <v>100</v>
      </c>
      <c r="W23" s="20">
        <f t="shared" si="11"/>
        <v>0.13606911447084233</v>
      </c>
      <c r="X23" s="5" t="b">
        <f t="shared" si="12"/>
        <v>1</v>
      </c>
    </row>
    <row r="24" spans="1:24" x14ac:dyDescent="0.3">
      <c r="A24" s="130"/>
      <c r="B24" s="12" t="s">
        <v>47</v>
      </c>
      <c r="C24" s="3">
        <v>99.5</v>
      </c>
      <c r="D24" s="1">
        <v>80</v>
      </c>
      <c r="E24" s="16">
        <f t="shared" si="0"/>
        <v>0.19597989949748743</v>
      </c>
      <c r="F24" s="1" t="b">
        <f t="shared" si="1"/>
        <v>1</v>
      </c>
      <c r="G24" s="2">
        <v>104</v>
      </c>
      <c r="H24" s="17">
        <v>0.12138888888888889</v>
      </c>
      <c r="I24" s="17">
        <f t="shared" si="2"/>
        <v>0.60694444444444451</v>
      </c>
      <c r="J24" s="2">
        <v>2</v>
      </c>
      <c r="K24" s="17">
        <f t="shared" si="3"/>
        <v>4.5226130653266333E-2</v>
      </c>
      <c r="L24" s="2" t="b">
        <f t="shared" si="4"/>
        <v>1</v>
      </c>
      <c r="M24" s="11">
        <v>44</v>
      </c>
      <c r="N24" s="18">
        <f t="shared" si="5"/>
        <v>0.55778894472361806</v>
      </c>
      <c r="O24" s="11" t="b">
        <f t="shared" si="6"/>
        <v>0</v>
      </c>
      <c r="P24" s="1">
        <v>106</v>
      </c>
      <c r="Q24" s="16">
        <f t="shared" si="7"/>
        <v>6.5326633165829151E-2</v>
      </c>
      <c r="R24" s="1" t="b">
        <f t="shared" si="8"/>
        <v>1</v>
      </c>
      <c r="S24" s="4">
        <v>94</v>
      </c>
      <c r="T24" s="21">
        <f t="shared" si="9"/>
        <v>5.5276381909547742E-2</v>
      </c>
      <c r="U24" s="4" t="b">
        <f t="shared" si="10"/>
        <v>1</v>
      </c>
      <c r="V24" s="5">
        <v>130</v>
      </c>
      <c r="W24" s="20">
        <f t="shared" si="11"/>
        <v>0.30653266331658291</v>
      </c>
      <c r="X24" s="5" t="b">
        <f t="shared" si="12"/>
        <v>0</v>
      </c>
    </row>
    <row r="25" spans="1:24" x14ac:dyDescent="0.3">
      <c r="A25" s="24" t="s">
        <v>68</v>
      </c>
      <c r="B25" s="12"/>
      <c r="C25" s="12">
        <f>SUM(C15:C24)</f>
        <v>729.2</v>
      </c>
      <c r="D25" s="6">
        <f>SUM(D15:D24)</f>
        <v>518</v>
      </c>
      <c r="E25" s="26">
        <f>AVERAGE(E15:E24)</f>
        <v>0.27677529466330741</v>
      </c>
      <c r="F25" s="26">
        <f>COUNTIF(F15:F24, TRUE)/ROWS(B15:B24)</f>
        <v>0.4</v>
      </c>
      <c r="G25" s="7">
        <f>SUM(G15:G24)</f>
        <v>648</v>
      </c>
      <c r="H25" s="27">
        <f>SUM(H15:H24)</f>
        <v>1.168611111111111</v>
      </c>
      <c r="I25" s="27">
        <f>SUM(I15:I24)</f>
        <v>5.843055555555555</v>
      </c>
      <c r="J25" s="7">
        <f>SUM(J15:J24)</f>
        <v>23</v>
      </c>
      <c r="K25" s="27">
        <f>AVERAGE(K15:K24)</f>
        <v>0.14341675389052855</v>
      </c>
      <c r="L25" s="27">
        <f>COUNTIF(L15:L24, TRUE)/ROWS(B15:B24)</f>
        <v>1</v>
      </c>
      <c r="M25" s="8">
        <f>SUM(M15:M24)</f>
        <v>390</v>
      </c>
      <c r="N25" s="28">
        <f>AVERAGE(N15:N24)</f>
        <v>0.39649150789008397</v>
      </c>
      <c r="O25" s="28">
        <f>COUNTIF(O15:O24, TRUE)/ROWS(B15:B24)</f>
        <v>0.3</v>
      </c>
      <c r="P25" s="6">
        <f>SUM(P15:P24)</f>
        <v>653</v>
      </c>
      <c r="Q25" s="26">
        <f>AVERAGE(Q15:Q24)</f>
        <v>0.28590348640030916</v>
      </c>
      <c r="R25" s="26">
        <f>COUNTIF(R15:R24, TRUE)/ROWS(B15:B24)</f>
        <v>0.5</v>
      </c>
      <c r="S25" s="9">
        <f>SUM(S15:S24)</f>
        <v>641</v>
      </c>
      <c r="T25" s="29">
        <f>AVERAGE(T15:T24)</f>
        <v>0.28598165938088138</v>
      </c>
      <c r="U25" s="29">
        <f>COUNTIF(U15:U24, TRUE)/ROWS(B15:B24)</f>
        <v>0.5</v>
      </c>
      <c r="V25" s="10">
        <f>SUM(V15:V24)</f>
        <v>889</v>
      </c>
      <c r="W25" s="30">
        <f>AVERAGE(W15:W24)</f>
        <v>0.48642186663262132</v>
      </c>
      <c r="X25" s="30">
        <f>COUNTIF(X15:X24, TRUE)/ROWS(B15:B24)</f>
        <v>0.4</v>
      </c>
    </row>
    <row r="26" spans="1:24" x14ac:dyDescent="0.3">
      <c r="A26" s="128" t="s">
        <v>73</v>
      </c>
      <c r="B26" s="12" t="s">
        <v>48</v>
      </c>
      <c r="C26" s="3">
        <v>56.25</v>
      </c>
      <c r="D26" s="1">
        <v>50</v>
      </c>
      <c r="E26" s="16">
        <f t="shared" si="0"/>
        <v>0.1111111111111111</v>
      </c>
      <c r="F26" s="1" t="b">
        <f t="shared" si="1"/>
        <v>1</v>
      </c>
      <c r="G26" s="2">
        <v>40</v>
      </c>
      <c r="H26" s="17">
        <v>0.10944444444444444</v>
      </c>
      <c r="I26" s="17">
        <f t="shared" si="2"/>
        <v>0.54722222222222217</v>
      </c>
      <c r="J26" s="2">
        <v>2</v>
      </c>
      <c r="K26" s="17">
        <f t="shared" si="3"/>
        <v>0.28888888888888886</v>
      </c>
      <c r="L26" s="2" t="b">
        <f t="shared" si="4"/>
        <v>0</v>
      </c>
      <c r="M26" s="11">
        <v>42</v>
      </c>
      <c r="N26" s="18">
        <f t="shared" si="5"/>
        <v>0.25333333333333335</v>
      </c>
      <c r="O26" s="11" t="b">
        <f t="shared" si="6"/>
        <v>0</v>
      </c>
      <c r="P26" s="1">
        <v>46</v>
      </c>
      <c r="Q26" s="16">
        <f t="shared" si="7"/>
        <v>0.18222222222222223</v>
      </c>
      <c r="R26" s="1" t="b">
        <f t="shared" si="8"/>
        <v>1</v>
      </c>
      <c r="S26" s="4">
        <v>68</v>
      </c>
      <c r="T26" s="21">
        <f t="shared" si="9"/>
        <v>0.2088888888888889</v>
      </c>
      <c r="U26" s="4" t="b">
        <f t="shared" si="10"/>
        <v>1</v>
      </c>
      <c r="V26" s="5">
        <v>48</v>
      </c>
      <c r="W26" s="20">
        <f t="shared" si="11"/>
        <v>0.14666666666666667</v>
      </c>
      <c r="X26" s="5" t="b">
        <f t="shared" si="12"/>
        <v>1</v>
      </c>
    </row>
    <row r="27" spans="1:24" x14ac:dyDescent="0.3">
      <c r="A27" s="129"/>
      <c r="B27" s="12" t="s">
        <v>49</v>
      </c>
      <c r="C27" s="3">
        <v>35.85</v>
      </c>
      <c r="D27" s="1">
        <v>32</v>
      </c>
      <c r="E27" s="16">
        <f t="shared" si="0"/>
        <v>0.1073919107391911</v>
      </c>
      <c r="F27" s="1" t="b">
        <f t="shared" si="1"/>
        <v>1</v>
      </c>
      <c r="G27" s="2">
        <v>40</v>
      </c>
      <c r="H27" s="17">
        <v>0.12666666666666668</v>
      </c>
      <c r="I27" s="17">
        <f t="shared" si="2"/>
        <v>0.63333333333333341</v>
      </c>
      <c r="J27" s="2">
        <v>2</v>
      </c>
      <c r="K27" s="17">
        <f t="shared" si="3"/>
        <v>0.11576011157601111</v>
      </c>
      <c r="L27" s="2" t="b">
        <f t="shared" si="4"/>
        <v>1</v>
      </c>
      <c r="M27" s="11">
        <v>33</v>
      </c>
      <c r="N27" s="18">
        <f t="shared" si="5"/>
        <v>7.9497907949790836E-2</v>
      </c>
      <c r="O27" s="11" t="b">
        <f t="shared" si="6"/>
        <v>1</v>
      </c>
      <c r="P27" s="1">
        <v>22</v>
      </c>
      <c r="Q27" s="16">
        <f t="shared" si="7"/>
        <v>0.38633193863319387</v>
      </c>
      <c r="R27" s="1" t="b">
        <f t="shared" si="8"/>
        <v>0</v>
      </c>
      <c r="S27" s="4">
        <v>41</v>
      </c>
      <c r="T27" s="21">
        <f t="shared" si="9"/>
        <v>0.1436541143654114</v>
      </c>
      <c r="U27" s="4" t="b">
        <f t="shared" si="10"/>
        <v>1</v>
      </c>
      <c r="V27" s="5">
        <v>62</v>
      </c>
      <c r="W27" s="20">
        <f t="shared" si="11"/>
        <v>0.72942817294281725</v>
      </c>
      <c r="X27" s="5" t="b">
        <f t="shared" si="12"/>
        <v>0</v>
      </c>
    </row>
    <row r="28" spans="1:24" x14ac:dyDescent="0.3">
      <c r="A28" s="129"/>
      <c r="B28" s="12" t="s">
        <v>50</v>
      </c>
      <c r="C28" s="3">
        <v>49.9</v>
      </c>
      <c r="D28" s="1">
        <v>40</v>
      </c>
      <c r="E28" s="16">
        <f t="shared" si="0"/>
        <v>0.19839679358717432</v>
      </c>
      <c r="F28" s="1" t="b">
        <f t="shared" si="1"/>
        <v>1</v>
      </c>
      <c r="G28" s="2">
        <v>40</v>
      </c>
      <c r="H28" s="17">
        <v>8.9722222222222217E-2</v>
      </c>
      <c r="I28" s="17">
        <f t="shared" ref="I28:I45" si="13">5*H28</f>
        <v>0.44861111111111107</v>
      </c>
      <c r="J28" s="2">
        <v>2</v>
      </c>
      <c r="K28" s="17">
        <f t="shared" si="3"/>
        <v>0.19839679358717432</v>
      </c>
      <c r="L28" s="2" t="b">
        <f t="shared" ref="L28:L45" si="14">IF(K28&lt;=0.25,TRUE,FALSE)</f>
        <v>1</v>
      </c>
      <c r="M28" s="11">
        <v>44</v>
      </c>
      <c r="N28" s="18">
        <f t="shared" si="5"/>
        <v>0.11823647294589176</v>
      </c>
      <c r="O28" s="11" t="b">
        <f t="shared" si="6"/>
        <v>1</v>
      </c>
      <c r="P28" s="1">
        <v>62</v>
      </c>
      <c r="Q28" s="16">
        <f t="shared" si="7"/>
        <v>0.24248496993987981</v>
      </c>
      <c r="R28" s="1" t="b">
        <f t="shared" si="8"/>
        <v>1</v>
      </c>
      <c r="S28" s="4">
        <v>32</v>
      </c>
      <c r="T28" s="21">
        <f t="shared" si="9"/>
        <v>0.35871743486973945</v>
      </c>
      <c r="U28" s="4" t="b">
        <f t="shared" si="10"/>
        <v>0</v>
      </c>
      <c r="V28" s="5">
        <v>66</v>
      </c>
      <c r="W28" s="20">
        <f t="shared" si="11"/>
        <v>0.32264529058116237</v>
      </c>
      <c r="X28" s="5" t="b">
        <f t="shared" si="12"/>
        <v>0</v>
      </c>
    </row>
    <row r="29" spans="1:24" x14ac:dyDescent="0.3">
      <c r="A29" s="129"/>
      <c r="B29" s="12" t="s">
        <v>51</v>
      </c>
      <c r="C29" s="3">
        <v>63.3</v>
      </c>
      <c r="D29" s="1">
        <v>48</v>
      </c>
      <c r="E29" s="16">
        <f t="shared" si="0"/>
        <v>0.24170616113744073</v>
      </c>
      <c r="F29" s="1" t="b">
        <f t="shared" si="1"/>
        <v>1</v>
      </c>
      <c r="G29" s="2">
        <v>40</v>
      </c>
      <c r="H29" s="17">
        <v>0.12222222222222222</v>
      </c>
      <c r="I29" s="17">
        <f t="shared" si="13"/>
        <v>0.61111111111111105</v>
      </c>
      <c r="J29" s="2">
        <v>2</v>
      </c>
      <c r="K29" s="17">
        <f t="shared" si="3"/>
        <v>0.36808846761453395</v>
      </c>
      <c r="L29" s="2" t="b">
        <f t="shared" si="14"/>
        <v>0</v>
      </c>
      <c r="M29" s="11">
        <v>36</v>
      </c>
      <c r="N29" s="18">
        <f t="shared" si="5"/>
        <v>0.43127962085308053</v>
      </c>
      <c r="O29" s="11" t="b">
        <f t="shared" si="6"/>
        <v>0</v>
      </c>
      <c r="P29" s="1">
        <v>44</v>
      </c>
      <c r="Q29" s="16">
        <f t="shared" si="7"/>
        <v>0.30489731437598733</v>
      </c>
      <c r="R29" s="1" t="b">
        <f t="shared" si="8"/>
        <v>0</v>
      </c>
      <c r="S29" s="4">
        <v>24</v>
      </c>
      <c r="T29" s="21">
        <f t="shared" si="9"/>
        <v>0.62085308056872035</v>
      </c>
      <c r="U29" s="4" t="b">
        <f t="shared" si="10"/>
        <v>0</v>
      </c>
      <c r="V29" s="5">
        <v>44</v>
      </c>
      <c r="W29" s="20">
        <f t="shared" si="11"/>
        <v>0.30489731437598733</v>
      </c>
      <c r="X29" s="5" t="b">
        <f t="shared" si="12"/>
        <v>0</v>
      </c>
    </row>
    <row r="30" spans="1:24" x14ac:dyDescent="0.3">
      <c r="A30" s="129"/>
      <c r="B30" s="12" t="s">
        <v>52</v>
      </c>
      <c r="C30" s="3">
        <v>42.3</v>
      </c>
      <c r="D30" s="1">
        <v>50</v>
      </c>
      <c r="E30" s="16">
        <f t="shared" si="0"/>
        <v>0.18203309692671402</v>
      </c>
      <c r="F30" s="1" t="b">
        <f t="shared" si="1"/>
        <v>1</v>
      </c>
      <c r="G30" s="2">
        <v>64</v>
      </c>
      <c r="H30" s="17">
        <v>9.4166666666666662E-2</v>
      </c>
      <c r="I30" s="17">
        <f t="shared" si="13"/>
        <v>0.47083333333333333</v>
      </c>
      <c r="J30" s="2">
        <v>2</v>
      </c>
      <c r="K30" s="17">
        <f t="shared" si="3"/>
        <v>0.51300236406619393</v>
      </c>
      <c r="L30" s="2" t="b">
        <f t="shared" si="14"/>
        <v>0</v>
      </c>
      <c r="M30" s="11">
        <v>62</v>
      </c>
      <c r="N30" s="18">
        <f t="shared" si="5"/>
        <v>0.46572104018912541</v>
      </c>
      <c r="O30" s="11" t="b">
        <f t="shared" si="6"/>
        <v>0</v>
      </c>
      <c r="P30" s="1">
        <v>62</v>
      </c>
      <c r="Q30" s="16">
        <f t="shared" si="7"/>
        <v>0.46572104018912541</v>
      </c>
      <c r="R30" s="1" t="b">
        <f t="shared" si="8"/>
        <v>0</v>
      </c>
      <c r="S30" s="4">
        <v>40</v>
      </c>
      <c r="T30" s="21">
        <f t="shared" si="9"/>
        <v>5.4373522458628781E-2</v>
      </c>
      <c r="U30" s="4" t="b">
        <f t="shared" si="10"/>
        <v>1</v>
      </c>
      <c r="V30" s="5">
        <v>80</v>
      </c>
      <c r="W30" s="20">
        <f t="shared" si="11"/>
        <v>0.89125295508274249</v>
      </c>
      <c r="X30" s="5" t="b">
        <f t="shared" si="12"/>
        <v>0</v>
      </c>
    </row>
    <row r="31" spans="1:24" x14ac:dyDescent="0.3">
      <c r="A31" s="129"/>
      <c r="B31" s="12" t="s">
        <v>53</v>
      </c>
      <c r="C31" s="3">
        <v>85.75</v>
      </c>
      <c r="D31" s="1">
        <v>90</v>
      </c>
      <c r="E31" s="16">
        <f t="shared" si="0"/>
        <v>4.9562682215743441E-2</v>
      </c>
      <c r="F31" s="1" t="b">
        <f t="shared" si="1"/>
        <v>1</v>
      </c>
      <c r="G31" s="2">
        <v>104</v>
      </c>
      <c r="H31" s="17">
        <v>0.11527777777777778</v>
      </c>
      <c r="I31" s="17">
        <f t="shared" si="13"/>
        <v>0.57638888888888895</v>
      </c>
      <c r="J31" s="2">
        <v>2</v>
      </c>
      <c r="K31" s="17">
        <f t="shared" si="3"/>
        <v>0.21282798833819241</v>
      </c>
      <c r="L31" s="2" t="b">
        <f t="shared" si="14"/>
        <v>1</v>
      </c>
      <c r="M31" s="11">
        <v>65</v>
      </c>
      <c r="N31" s="18">
        <f t="shared" si="5"/>
        <v>0.24198250728862974</v>
      </c>
      <c r="O31" s="11" t="b">
        <f t="shared" si="6"/>
        <v>1</v>
      </c>
      <c r="P31" s="1">
        <v>100</v>
      </c>
      <c r="Q31" s="16">
        <f t="shared" si="7"/>
        <v>0.16618075801749271</v>
      </c>
      <c r="R31" s="1" t="b">
        <f t="shared" si="8"/>
        <v>1</v>
      </c>
      <c r="S31" s="4">
        <v>88</v>
      </c>
      <c r="T31" s="21">
        <f t="shared" si="9"/>
        <v>2.6239067055393587E-2</v>
      </c>
      <c r="U31" s="4" t="b">
        <f t="shared" si="10"/>
        <v>1</v>
      </c>
      <c r="V31" s="5">
        <v>180</v>
      </c>
      <c r="W31" s="20">
        <f t="shared" si="11"/>
        <v>1.0991253644314869</v>
      </c>
      <c r="X31" s="5" t="b">
        <f t="shared" si="12"/>
        <v>0</v>
      </c>
    </row>
    <row r="32" spans="1:24" x14ac:dyDescent="0.3">
      <c r="A32" s="129"/>
      <c r="B32" s="12" t="s">
        <v>54</v>
      </c>
      <c r="C32" s="3">
        <v>89.9</v>
      </c>
      <c r="D32" s="1">
        <v>65</v>
      </c>
      <c r="E32" s="16">
        <f t="shared" si="0"/>
        <v>0.2769744160177976</v>
      </c>
      <c r="F32" s="1" t="b">
        <f t="shared" si="1"/>
        <v>0</v>
      </c>
      <c r="G32" s="2">
        <v>104</v>
      </c>
      <c r="H32" s="17">
        <v>9.1111111111111115E-2</v>
      </c>
      <c r="I32" s="17">
        <f t="shared" si="13"/>
        <v>0.4555555555555556</v>
      </c>
      <c r="J32" s="2">
        <v>2</v>
      </c>
      <c r="K32" s="17">
        <f t="shared" si="3"/>
        <v>0.15684093437152385</v>
      </c>
      <c r="L32" s="2" t="b">
        <f t="shared" si="14"/>
        <v>1</v>
      </c>
      <c r="M32" s="11">
        <v>78</v>
      </c>
      <c r="N32" s="18">
        <f t="shared" si="5"/>
        <v>0.13236929922135712</v>
      </c>
      <c r="O32" s="11" t="b">
        <f t="shared" si="6"/>
        <v>1</v>
      </c>
      <c r="P32" s="1">
        <v>58</v>
      </c>
      <c r="Q32" s="16">
        <f t="shared" si="7"/>
        <v>0.35483870967741937</v>
      </c>
      <c r="R32" s="1" t="b">
        <f t="shared" si="8"/>
        <v>0</v>
      </c>
      <c r="S32" s="4">
        <v>88</v>
      </c>
      <c r="T32" s="21">
        <f t="shared" si="9"/>
        <v>2.1134593993325981E-2</v>
      </c>
      <c r="U32" s="4" t="b">
        <f t="shared" si="10"/>
        <v>1</v>
      </c>
      <c r="V32" s="5">
        <v>130</v>
      </c>
      <c r="W32" s="20">
        <f t="shared" si="11"/>
        <v>0.4460511679644048</v>
      </c>
      <c r="X32" s="5" t="b">
        <f t="shared" si="12"/>
        <v>0</v>
      </c>
    </row>
    <row r="33" spans="1:24" x14ac:dyDescent="0.3">
      <c r="A33" s="129"/>
      <c r="B33" s="12" t="s">
        <v>55</v>
      </c>
      <c r="C33" s="3">
        <v>144.25</v>
      </c>
      <c r="D33" s="1">
        <v>100</v>
      </c>
      <c r="E33" s="16">
        <f t="shared" si="0"/>
        <v>0.30675909878682844</v>
      </c>
      <c r="F33" s="1" t="b">
        <f t="shared" si="1"/>
        <v>0</v>
      </c>
      <c r="G33" s="2">
        <v>160</v>
      </c>
      <c r="H33" s="17">
        <v>7.722222222222222E-2</v>
      </c>
      <c r="I33" s="17">
        <f t="shared" si="13"/>
        <v>0.38611111111111107</v>
      </c>
      <c r="J33" s="2">
        <v>2</v>
      </c>
      <c r="K33" s="17">
        <f t="shared" si="3"/>
        <v>0.10918544194107452</v>
      </c>
      <c r="L33" s="2" t="b">
        <f t="shared" si="14"/>
        <v>1</v>
      </c>
      <c r="M33" s="11">
        <v>72</v>
      </c>
      <c r="N33" s="18">
        <f t="shared" si="5"/>
        <v>0.50086655112651646</v>
      </c>
      <c r="O33" s="11" t="b">
        <f t="shared" si="6"/>
        <v>0</v>
      </c>
      <c r="P33" s="1">
        <v>72</v>
      </c>
      <c r="Q33" s="16">
        <f t="shared" si="7"/>
        <v>0.50086655112651646</v>
      </c>
      <c r="R33" s="1" t="b">
        <f t="shared" si="8"/>
        <v>0</v>
      </c>
      <c r="S33" s="4">
        <v>80</v>
      </c>
      <c r="T33" s="21">
        <f t="shared" si="9"/>
        <v>0.44540727902946275</v>
      </c>
      <c r="U33" s="4" t="b">
        <f t="shared" si="10"/>
        <v>0</v>
      </c>
      <c r="V33" s="5">
        <v>110</v>
      </c>
      <c r="W33" s="20">
        <f t="shared" si="11"/>
        <v>0.23743500866551126</v>
      </c>
      <c r="X33" s="5" t="b">
        <f t="shared" si="12"/>
        <v>1</v>
      </c>
    </row>
    <row r="34" spans="1:24" x14ac:dyDescent="0.3">
      <c r="A34" s="129"/>
      <c r="B34" s="12" t="s">
        <v>56</v>
      </c>
      <c r="C34" s="3">
        <v>65</v>
      </c>
      <c r="D34" s="1">
        <v>72</v>
      </c>
      <c r="E34" s="16">
        <f t="shared" si="0"/>
        <v>0.1076923076923077</v>
      </c>
      <c r="F34" s="1" t="b">
        <f t="shared" si="1"/>
        <v>1</v>
      </c>
      <c r="G34" s="2">
        <v>104</v>
      </c>
      <c r="H34" s="17">
        <v>0.1125</v>
      </c>
      <c r="I34" s="17">
        <f t="shared" si="13"/>
        <v>0.5625</v>
      </c>
      <c r="J34" s="2">
        <v>2</v>
      </c>
      <c r="K34" s="17">
        <f t="shared" si="3"/>
        <v>0.6</v>
      </c>
      <c r="L34" s="2" t="b">
        <f t="shared" si="14"/>
        <v>0</v>
      </c>
      <c r="M34" s="11">
        <v>74</v>
      </c>
      <c r="N34" s="18">
        <f t="shared" si="5"/>
        <v>0.13846153846153847</v>
      </c>
      <c r="O34" s="11" t="b">
        <f t="shared" si="6"/>
        <v>1</v>
      </c>
      <c r="P34" s="1">
        <v>150</v>
      </c>
      <c r="Q34" s="16">
        <f t="shared" si="7"/>
        <v>1.3076923076923077</v>
      </c>
      <c r="R34" s="1" t="b">
        <f t="shared" si="8"/>
        <v>0</v>
      </c>
      <c r="S34" s="4">
        <v>93</v>
      </c>
      <c r="T34" s="21">
        <f t="shared" si="9"/>
        <v>0.43076923076923079</v>
      </c>
      <c r="U34" s="4" t="b">
        <f t="shared" si="10"/>
        <v>0</v>
      </c>
      <c r="V34" s="5">
        <v>116</v>
      </c>
      <c r="W34" s="20">
        <f t="shared" si="11"/>
        <v>0.7846153846153846</v>
      </c>
      <c r="X34" s="5" t="b">
        <f t="shared" si="12"/>
        <v>0</v>
      </c>
    </row>
    <row r="35" spans="1:24" x14ac:dyDescent="0.3">
      <c r="A35" s="130"/>
      <c r="B35" s="12" t="s">
        <v>57</v>
      </c>
      <c r="C35" s="3">
        <v>42</v>
      </c>
      <c r="D35" s="1">
        <v>44</v>
      </c>
      <c r="E35" s="16">
        <f t="shared" si="0"/>
        <v>4.7619047619047616E-2</v>
      </c>
      <c r="F35" s="1" t="b">
        <f t="shared" si="1"/>
        <v>1</v>
      </c>
      <c r="G35" s="2">
        <v>40</v>
      </c>
      <c r="H35" s="17">
        <v>0.10361111111111111</v>
      </c>
      <c r="I35" s="17">
        <f t="shared" si="13"/>
        <v>0.5180555555555556</v>
      </c>
      <c r="J35" s="2">
        <v>2</v>
      </c>
      <c r="K35" s="17">
        <f t="shared" si="3"/>
        <v>4.7619047619047616E-2</v>
      </c>
      <c r="L35" s="2" t="b">
        <f t="shared" si="14"/>
        <v>1</v>
      </c>
      <c r="M35" s="11">
        <v>47</v>
      </c>
      <c r="N35" s="18">
        <f t="shared" si="5"/>
        <v>0.11904761904761904</v>
      </c>
      <c r="O35" s="11" t="b">
        <f t="shared" si="6"/>
        <v>1</v>
      </c>
      <c r="P35" s="1">
        <v>56</v>
      </c>
      <c r="Q35" s="16">
        <f t="shared" si="7"/>
        <v>0.33333333333333331</v>
      </c>
      <c r="R35" s="1" t="b">
        <f t="shared" si="8"/>
        <v>0</v>
      </c>
      <c r="S35" s="4">
        <v>120</v>
      </c>
      <c r="T35" s="21">
        <f t="shared" si="9"/>
        <v>1.8571428571428572</v>
      </c>
      <c r="U35" s="4" t="b">
        <f t="shared" si="10"/>
        <v>0</v>
      </c>
      <c r="V35" s="5">
        <v>100</v>
      </c>
      <c r="W35" s="20">
        <f t="shared" si="11"/>
        <v>1.3809523809523809</v>
      </c>
      <c r="X35" s="5" t="b">
        <f t="shared" si="12"/>
        <v>0</v>
      </c>
    </row>
    <row r="36" spans="1:24" x14ac:dyDescent="0.3">
      <c r="A36" s="15" t="s">
        <v>68</v>
      </c>
      <c r="B36" s="12"/>
      <c r="C36" s="12">
        <f>SUM(C26:C35)</f>
        <v>674.5</v>
      </c>
      <c r="D36" s="6">
        <f>SUM(D26:D35)</f>
        <v>591</v>
      </c>
      <c r="E36" s="26">
        <f>AVERAGE(E26:E35)</f>
        <v>0.16292466258333563</v>
      </c>
      <c r="F36" s="26">
        <f>COUNTIF(F26:F35, TRUE)/ROWS(B26:B35)</f>
        <v>0.8</v>
      </c>
      <c r="G36" s="7">
        <f>SUM(G26:G35)</f>
        <v>736</v>
      </c>
      <c r="H36" s="27">
        <f>SUM(H26:H35)</f>
        <v>1.0419444444444446</v>
      </c>
      <c r="I36" s="27">
        <f>SUM(I26:I35)</f>
        <v>5.2097222222222221</v>
      </c>
      <c r="J36" s="7">
        <f>SUM(J26:J35)</f>
        <v>20</v>
      </c>
      <c r="K36" s="27">
        <f>AVERAGE(K26:K35)</f>
        <v>0.26106100380026404</v>
      </c>
      <c r="L36" s="27">
        <f>COUNTIF(L26:L35, TRUE)/ROWS(B26:B35)</f>
        <v>0.6</v>
      </c>
      <c r="M36" s="8">
        <f>SUM(M26:M35)</f>
        <v>553</v>
      </c>
      <c r="N36" s="28">
        <f>AVERAGE(N26:N35)</f>
        <v>0.24807958904168831</v>
      </c>
      <c r="O36" s="28">
        <f>COUNTIF(O26:O35, TRUE)/ROWS(B26:B35)</f>
        <v>0.6</v>
      </c>
      <c r="P36" s="6">
        <f>SUM(P26:P35)</f>
        <v>672</v>
      </c>
      <c r="Q36" s="26">
        <f>AVERAGE(Q26:Q35)</f>
        <v>0.42445691452074774</v>
      </c>
      <c r="R36" s="26">
        <f>COUNTIF(R26:R35, TRUE)/ROWS(B26:B35)</f>
        <v>0.3</v>
      </c>
      <c r="S36" s="9">
        <f>SUM(S26:S35)</f>
        <v>674</v>
      </c>
      <c r="T36" s="29">
        <f>AVERAGE(T26:T35)</f>
        <v>0.41671800691416594</v>
      </c>
      <c r="U36" s="29">
        <f>COUNTIF(U26:U35, TRUE)/ROWS(B26:B35)</f>
        <v>0.5</v>
      </c>
      <c r="V36" s="10">
        <f>SUM(V26:V35)</f>
        <v>936</v>
      </c>
      <c r="W36" s="30">
        <f>AVERAGE(W26:W35)</f>
        <v>0.63430697062785446</v>
      </c>
      <c r="X36" s="30">
        <f>COUNTIF(X26:X35, TRUE)/ROWS(B26:B35)</f>
        <v>0.2</v>
      </c>
    </row>
    <row r="37" spans="1:24" x14ac:dyDescent="0.3">
      <c r="A37" s="128" t="s">
        <v>97</v>
      </c>
      <c r="B37" s="12" t="s">
        <v>88</v>
      </c>
      <c r="C37" s="3">
        <v>201.5</v>
      </c>
      <c r="D37" s="1">
        <v>130</v>
      </c>
      <c r="E37" s="16">
        <f t="shared" si="0"/>
        <v>0.35483870967741937</v>
      </c>
      <c r="F37" s="1" t="b">
        <f>IF(E37&lt;=0.25,TRUE,FALSE)</f>
        <v>0</v>
      </c>
      <c r="G37" s="2">
        <v>160</v>
      </c>
      <c r="H37" s="17">
        <v>0.13222222222222221</v>
      </c>
      <c r="I37" s="17">
        <f t="shared" si="13"/>
        <v>0.66111111111111109</v>
      </c>
      <c r="J37" s="2">
        <v>3</v>
      </c>
      <c r="K37" s="17">
        <f t="shared" si="3"/>
        <v>0.20595533498759305</v>
      </c>
      <c r="L37" s="2" t="b">
        <f t="shared" si="14"/>
        <v>1</v>
      </c>
      <c r="M37" s="11">
        <v>114</v>
      </c>
      <c r="N37" s="18">
        <f t="shared" ref="N37:N45" si="15">ABS(C37-M37)/C37</f>
        <v>0.43424317617866004</v>
      </c>
      <c r="O37" s="11" t="b">
        <f t="shared" si="6"/>
        <v>0</v>
      </c>
      <c r="P37" s="1">
        <v>52</v>
      </c>
      <c r="Q37" s="16">
        <f t="shared" si="7"/>
        <v>0.74193548387096775</v>
      </c>
      <c r="R37" s="1" t="b">
        <f t="shared" si="8"/>
        <v>0</v>
      </c>
      <c r="S37" s="4">
        <v>91</v>
      </c>
      <c r="T37" s="21">
        <f t="shared" si="9"/>
        <v>0.54838709677419351</v>
      </c>
      <c r="U37" s="4" t="b">
        <f t="shared" si="10"/>
        <v>0</v>
      </c>
      <c r="V37" s="5">
        <v>230</v>
      </c>
      <c r="W37" s="20">
        <f t="shared" si="11"/>
        <v>0.14143920595533499</v>
      </c>
      <c r="X37" s="5" t="b">
        <f t="shared" si="12"/>
        <v>1</v>
      </c>
    </row>
    <row r="38" spans="1:24" x14ac:dyDescent="0.3">
      <c r="A38" s="129"/>
      <c r="B38" s="12" t="s">
        <v>89</v>
      </c>
      <c r="C38" s="3">
        <v>95</v>
      </c>
      <c r="D38" s="1">
        <v>96</v>
      </c>
      <c r="E38" s="16">
        <f t="shared" si="0"/>
        <v>1.0526315789473684E-2</v>
      </c>
      <c r="F38" s="1" t="b">
        <f t="shared" ref="F38:F45" si="16">IF(E38&lt;=0.25,TRUE,FALSE)</f>
        <v>1</v>
      </c>
      <c r="G38" s="2">
        <v>104</v>
      </c>
      <c r="H38" s="17">
        <v>0.15027777777777779</v>
      </c>
      <c r="I38" s="17">
        <f t="shared" si="13"/>
        <v>0.75138888888888888</v>
      </c>
      <c r="J38" s="2">
        <v>2</v>
      </c>
      <c r="K38" s="17">
        <f t="shared" si="3"/>
        <v>9.4736842105263161E-2</v>
      </c>
      <c r="L38" s="2" t="b">
        <f t="shared" si="14"/>
        <v>1</v>
      </c>
      <c r="M38" s="11">
        <v>180</v>
      </c>
      <c r="N38" s="18">
        <f t="shared" si="15"/>
        <v>0.89473684210526316</v>
      </c>
      <c r="O38" s="11" t="b">
        <f t="shared" si="6"/>
        <v>0</v>
      </c>
      <c r="P38" s="1">
        <v>80</v>
      </c>
      <c r="Q38" s="16">
        <f t="shared" si="7"/>
        <v>0.15789473684210525</v>
      </c>
      <c r="R38" s="1" t="b">
        <f t="shared" si="8"/>
        <v>1</v>
      </c>
      <c r="S38" s="4">
        <v>135</v>
      </c>
      <c r="T38" s="21">
        <f t="shared" si="9"/>
        <v>0.42105263157894735</v>
      </c>
      <c r="U38" s="4" t="b">
        <f t="shared" si="10"/>
        <v>0</v>
      </c>
      <c r="V38" s="5">
        <v>130</v>
      </c>
      <c r="W38" s="20">
        <f t="shared" si="11"/>
        <v>0.36842105263157893</v>
      </c>
      <c r="X38" s="5" t="b">
        <f t="shared" si="12"/>
        <v>0</v>
      </c>
    </row>
    <row r="39" spans="1:24" x14ac:dyDescent="0.3">
      <c r="A39" s="129"/>
      <c r="B39" s="12" t="s">
        <v>90</v>
      </c>
      <c r="C39" s="3">
        <v>103</v>
      </c>
      <c r="D39" s="1">
        <v>80</v>
      </c>
      <c r="E39" s="16">
        <f t="shared" si="0"/>
        <v>0.22330097087378642</v>
      </c>
      <c r="F39" s="1" t="b">
        <f t="shared" si="16"/>
        <v>1</v>
      </c>
      <c r="G39" s="2">
        <v>104</v>
      </c>
      <c r="H39" s="17">
        <v>8.5277777999999999E-2</v>
      </c>
      <c r="I39" s="17">
        <f t="shared" si="13"/>
        <v>0.42638889000000002</v>
      </c>
      <c r="J39" s="2">
        <v>2</v>
      </c>
      <c r="K39" s="17">
        <f t="shared" si="3"/>
        <v>9.7087378640776691E-3</v>
      </c>
      <c r="L39" s="2" t="b">
        <f t="shared" si="14"/>
        <v>1</v>
      </c>
      <c r="M39" s="11">
        <v>126</v>
      </c>
      <c r="N39" s="18">
        <f t="shared" si="15"/>
        <v>0.22330097087378642</v>
      </c>
      <c r="O39" s="11" t="b">
        <f t="shared" si="6"/>
        <v>1</v>
      </c>
      <c r="P39" s="1">
        <v>80</v>
      </c>
      <c r="Q39" s="16">
        <f t="shared" si="7"/>
        <v>0.22330097087378642</v>
      </c>
      <c r="R39" s="1" t="b">
        <f t="shared" si="8"/>
        <v>1</v>
      </c>
      <c r="S39" s="4">
        <v>108</v>
      </c>
      <c r="T39" s="21">
        <f t="shared" si="9"/>
        <v>4.8543689320388349E-2</v>
      </c>
      <c r="U39" s="4" t="b">
        <f t="shared" si="10"/>
        <v>1</v>
      </c>
      <c r="V39" s="5">
        <v>200</v>
      </c>
      <c r="W39" s="20">
        <f t="shared" si="11"/>
        <v>0.94174757281553401</v>
      </c>
      <c r="X39" s="5" t="b">
        <f t="shared" si="12"/>
        <v>0</v>
      </c>
    </row>
    <row r="40" spans="1:24" x14ac:dyDescent="0.3">
      <c r="A40" s="129"/>
      <c r="B40" s="12" t="s">
        <v>91</v>
      </c>
      <c r="C40" s="3">
        <v>68.5</v>
      </c>
      <c r="D40" s="1">
        <v>40</v>
      </c>
      <c r="E40" s="16">
        <f t="shared" si="0"/>
        <v>0.41605839416058393</v>
      </c>
      <c r="F40" s="1" t="b">
        <f t="shared" si="16"/>
        <v>0</v>
      </c>
      <c r="G40" s="2">
        <v>64</v>
      </c>
      <c r="H40" s="17">
        <v>0.11138888888888888</v>
      </c>
      <c r="I40" s="17">
        <f t="shared" si="13"/>
        <v>0.55694444444444446</v>
      </c>
      <c r="J40" s="2">
        <v>2</v>
      </c>
      <c r="K40" s="17">
        <f t="shared" si="3"/>
        <v>6.569343065693431E-2</v>
      </c>
      <c r="L40" s="2" t="b">
        <f t="shared" si="14"/>
        <v>1</v>
      </c>
      <c r="M40" s="11">
        <v>100</v>
      </c>
      <c r="N40" s="18">
        <f t="shared" si="15"/>
        <v>0.45985401459854014</v>
      </c>
      <c r="O40" s="11" t="b">
        <f t="shared" si="6"/>
        <v>0</v>
      </c>
      <c r="P40" s="1">
        <v>60</v>
      </c>
      <c r="Q40" s="16">
        <f t="shared" si="7"/>
        <v>0.12408759124087591</v>
      </c>
      <c r="R40" s="1" t="b">
        <f t="shared" si="8"/>
        <v>1</v>
      </c>
      <c r="S40" s="4">
        <v>76</v>
      </c>
      <c r="T40" s="21">
        <f t="shared" si="9"/>
        <v>0.10948905109489052</v>
      </c>
      <c r="U40" s="4" t="b">
        <f t="shared" si="10"/>
        <v>1</v>
      </c>
      <c r="V40" s="5">
        <v>88</v>
      </c>
      <c r="W40" s="20">
        <f t="shared" si="11"/>
        <v>0.28467153284671531</v>
      </c>
      <c r="X40" s="5" t="b">
        <f t="shared" si="12"/>
        <v>0</v>
      </c>
    </row>
    <row r="41" spans="1:24" x14ac:dyDescent="0.3">
      <c r="A41" s="129"/>
      <c r="B41" s="12" t="s">
        <v>92</v>
      </c>
      <c r="C41" s="3">
        <v>69.5</v>
      </c>
      <c r="D41" s="1">
        <v>55</v>
      </c>
      <c r="E41" s="16">
        <f t="shared" si="0"/>
        <v>0.20863309352517986</v>
      </c>
      <c r="F41" s="1" t="b">
        <f t="shared" si="16"/>
        <v>1</v>
      </c>
      <c r="G41" s="2">
        <v>64</v>
      </c>
      <c r="H41" s="17">
        <v>0.17555555555555555</v>
      </c>
      <c r="I41" s="17">
        <f t="shared" si="13"/>
        <v>0.87777777777777777</v>
      </c>
      <c r="J41" s="2">
        <v>2</v>
      </c>
      <c r="K41" s="17">
        <f t="shared" si="3"/>
        <v>7.9136690647482008E-2</v>
      </c>
      <c r="L41" s="2" t="b">
        <f t="shared" si="14"/>
        <v>1</v>
      </c>
      <c r="M41" s="11">
        <v>102</v>
      </c>
      <c r="N41" s="18">
        <f t="shared" si="15"/>
        <v>0.46762589928057552</v>
      </c>
      <c r="O41" s="11" t="b">
        <f t="shared" si="6"/>
        <v>0</v>
      </c>
      <c r="P41" s="1">
        <v>72</v>
      </c>
      <c r="Q41" s="16">
        <f t="shared" si="7"/>
        <v>3.5971223021582732E-2</v>
      </c>
      <c r="R41" s="1" t="b">
        <f t="shared" si="8"/>
        <v>1</v>
      </c>
      <c r="S41" s="4">
        <v>69</v>
      </c>
      <c r="T41" s="21">
        <f t="shared" si="9"/>
        <v>7.1942446043165471E-3</v>
      </c>
      <c r="U41" s="4" t="b">
        <f t="shared" si="10"/>
        <v>1</v>
      </c>
      <c r="V41" s="5">
        <v>76</v>
      </c>
      <c r="W41" s="20">
        <f t="shared" si="11"/>
        <v>9.3525179856115109E-2</v>
      </c>
      <c r="X41" s="5" t="b">
        <f t="shared" si="12"/>
        <v>1</v>
      </c>
    </row>
    <row r="42" spans="1:24" x14ac:dyDescent="0.3">
      <c r="A42" s="129"/>
      <c r="B42" s="12" t="s">
        <v>93</v>
      </c>
      <c r="C42" s="3">
        <v>45.5</v>
      </c>
      <c r="D42" s="1">
        <v>50</v>
      </c>
      <c r="E42" s="16">
        <f t="shared" si="0"/>
        <v>9.8901098901098897E-2</v>
      </c>
      <c r="F42" s="1" t="b">
        <f t="shared" si="16"/>
        <v>1</v>
      </c>
      <c r="G42" s="2">
        <v>40</v>
      </c>
      <c r="H42" s="17">
        <v>8.9722222222222217E-2</v>
      </c>
      <c r="I42" s="17">
        <f t="shared" si="13"/>
        <v>0.44861111111111107</v>
      </c>
      <c r="J42" s="2">
        <v>2</v>
      </c>
      <c r="K42" s="17">
        <f t="shared" si="3"/>
        <v>0.12087912087912088</v>
      </c>
      <c r="L42" s="2" t="b">
        <f t="shared" si="14"/>
        <v>1</v>
      </c>
      <c r="M42" s="11">
        <v>150</v>
      </c>
      <c r="N42" s="18">
        <f t="shared" si="15"/>
        <v>2.2967032967032965</v>
      </c>
      <c r="O42" s="11" t="b">
        <f t="shared" si="6"/>
        <v>0</v>
      </c>
      <c r="P42" s="1">
        <v>50</v>
      </c>
      <c r="Q42" s="16">
        <f t="shared" si="7"/>
        <v>9.8901098901098897E-2</v>
      </c>
      <c r="R42" s="1" t="b">
        <f t="shared" si="8"/>
        <v>1</v>
      </c>
      <c r="S42" s="4">
        <v>78</v>
      </c>
      <c r="T42" s="21">
        <f t="shared" si="9"/>
        <v>0.7142857142857143</v>
      </c>
      <c r="U42" s="4" t="b">
        <f t="shared" si="10"/>
        <v>0</v>
      </c>
      <c r="V42" s="5">
        <v>153</v>
      </c>
      <c r="W42" s="20">
        <f t="shared" si="11"/>
        <v>2.3626373626373627</v>
      </c>
      <c r="X42" s="5" t="b">
        <f t="shared" si="12"/>
        <v>0</v>
      </c>
    </row>
    <row r="43" spans="1:24" x14ac:dyDescent="0.3">
      <c r="A43" s="129"/>
      <c r="B43" s="12" t="s">
        <v>94</v>
      </c>
      <c r="C43" s="3">
        <v>122</v>
      </c>
      <c r="D43" s="1">
        <v>88</v>
      </c>
      <c r="E43" s="16">
        <f t="shared" si="0"/>
        <v>0.27868852459016391</v>
      </c>
      <c r="F43" s="1" t="b">
        <f t="shared" si="16"/>
        <v>0</v>
      </c>
      <c r="G43" s="2">
        <v>104</v>
      </c>
      <c r="H43" s="17">
        <v>0.11638888888888889</v>
      </c>
      <c r="I43" s="17">
        <f t="shared" si="13"/>
        <v>0.58194444444444449</v>
      </c>
      <c r="J43" s="2">
        <v>2</v>
      </c>
      <c r="K43" s="17">
        <f t="shared" si="3"/>
        <v>0.14754098360655737</v>
      </c>
      <c r="L43" s="2" t="b">
        <f t="shared" si="14"/>
        <v>1</v>
      </c>
      <c r="M43" s="11">
        <v>206</v>
      </c>
      <c r="N43" s="18">
        <f t="shared" si="15"/>
        <v>0.68852459016393441</v>
      </c>
      <c r="O43" s="11" t="b">
        <f t="shared" si="6"/>
        <v>0</v>
      </c>
      <c r="P43" s="1">
        <v>72</v>
      </c>
      <c r="Q43" s="16">
        <f t="shared" si="7"/>
        <v>0.4098360655737705</v>
      </c>
      <c r="R43" s="1" t="b">
        <f t="shared" si="8"/>
        <v>0</v>
      </c>
      <c r="S43" s="4">
        <v>191</v>
      </c>
      <c r="T43" s="21">
        <f t="shared" si="9"/>
        <v>0.56557377049180324</v>
      </c>
      <c r="U43" s="4" t="b">
        <f t="shared" si="10"/>
        <v>0</v>
      </c>
      <c r="V43" s="5">
        <v>422</v>
      </c>
      <c r="W43" s="20">
        <f t="shared" si="11"/>
        <v>2.459016393442623</v>
      </c>
      <c r="X43" s="5" t="b">
        <f t="shared" si="12"/>
        <v>0</v>
      </c>
    </row>
    <row r="44" spans="1:24" x14ac:dyDescent="0.3">
      <c r="A44" s="129"/>
      <c r="B44" s="12" t="s">
        <v>95</v>
      </c>
      <c r="C44" s="3">
        <v>212.5</v>
      </c>
      <c r="D44" s="1">
        <v>125</v>
      </c>
      <c r="E44" s="16">
        <f t="shared" si="0"/>
        <v>0.41176470588235292</v>
      </c>
      <c r="F44" s="1" t="b">
        <f t="shared" si="16"/>
        <v>0</v>
      </c>
      <c r="G44" s="2">
        <v>160</v>
      </c>
      <c r="H44" s="17">
        <v>0.10333333333333333</v>
      </c>
      <c r="I44" s="17">
        <f t="shared" si="13"/>
        <v>0.51666666666666661</v>
      </c>
      <c r="J44" s="2">
        <v>3</v>
      </c>
      <c r="K44" s="17">
        <f t="shared" si="3"/>
        <v>0.24705882352941178</v>
      </c>
      <c r="L44" s="2" t="b">
        <f t="shared" si="14"/>
        <v>1</v>
      </c>
      <c r="M44" s="11">
        <v>100</v>
      </c>
      <c r="N44" s="18">
        <f t="shared" si="15"/>
        <v>0.52941176470588236</v>
      </c>
      <c r="O44" s="11" t="b">
        <f t="shared" si="6"/>
        <v>0</v>
      </c>
      <c r="P44" s="1">
        <v>92</v>
      </c>
      <c r="Q44" s="16">
        <f t="shared" si="7"/>
        <v>0.56705882352941173</v>
      </c>
      <c r="R44" s="1" t="b">
        <f t="shared" si="8"/>
        <v>0</v>
      </c>
      <c r="S44" s="4">
        <v>74</v>
      </c>
      <c r="T44" s="21">
        <f t="shared" si="9"/>
        <v>0.65176470588235291</v>
      </c>
      <c r="U44" s="4" t="b">
        <f t="shared" si="10"/>
        <v>0</v>
      </c>
      <c r="V44" s="5">
        <v>130</v>
      </c>
      <c r="W44" s="20">
        <f t="shared" si="11"/>
        <v>0.38823529411764707</v>
      </c>
      <c r="X44" s="5" t="b">
        <f t="shared" si="12"/>
        <v>0</v>
      </c>
    </row>
    <row r="45" spans="1:24" x14ac:dyDescent="0.3">
      <c r="A45" s="130"/>
      <c r="B45" s="12" t="s">
        <v>96</v>
      </c>
      <c r="C45" s="3">
        <v>45.5</v>
      </c>
      <c r="D45" s="1">
        <v>32</v>
      </c>
      <c r="E45" s="16">
        <f t="shared" si="0"/>
        <v>0.2967032967032967</v>
      </c>
      <c r="F45" s="1" t="b">
        <f t="shared" si="16"/>
        <v>0</v>
      </c>
      <c r="G45" s="2">
        <v>40</v>
      </c>
      <c r="H45" s="17">
        <v>7.4166666666666672E-2</v>
      </c>
      <c r="I45" s="17">
        <f t="shared" si="13"/>
        <v>0.37083333333333335</v>
      </c>
      <c r="J45" s="2">
        <v>1</v>
      </c>
      <c r="K45" s="17">
        <f t="shared" si="3"/>
        <v>0.12087912087912088</v>
      </c>
      <c r="L45" s="2" t="b">
        <f t="shared" si="14"/>
        <v>1</v>
      </c>
      <c r="M45" s="11">
        <v>60</v>
      </c>
      <c r="N45" s="18">
        <f t="shared" si="15"/>
        <v>0.31868131868131866</v>
      </c>
      <c r="O45" s="11" t="b">
        <f t="shared" si="6"/>
        <v>0</v>
      </c>
      <c r="P45" s="1">
        <v>40</v>
      </c>
      <c r="Q45" s="16">
        <f t="shared" si="7"/>
        <v>0.12087912087912088</v>
      </c>
      <c r="R45" s="1" t="b">
        <f t="shared" si="8"/>
        <v>1</v>
      </c>
      <c r="S45" s="4">
        <v>23</v>
      </c>
      <c r="T45" s="21">
        <f t="shared" si="9"/>
        <v>0.49450549450549453</v>
      </c>
      <c r="U45" s="4" t="b">
        <f t="shared" si="10"/>
        <v>0</v>
      </c>
      <c r="V45" s="5">
        <v>150</v>
      </c>
      <c r="W45" s="20">
        <f t="shared" si="11"/>
        <v>2.2967032967032965</v>
      </c>
      <c r="X45" s="5" t="b">
        <f t="shared" si="12"/>
        <v>0</v>
      </c>
    </row>
    <row r="46" spans="1:24" x14ac:dyDescent="0.3">
      <c r="A46" s="15" t="s">
        <v>68</v>
      </c>
      <c r="B46" s="12"/>
      <c r="C46" s="12">
        <f>SUM(C37:C45)</f>
        <v>963</v>
      </c>
      <c r="D46" s="6">
        <f>SUM(D37:D45)</f>
        <v>696</v>
      </c>
      <c r="E46" s="26">
        <f>AVERAGE(E37:E45)</f>
        <v>0.25549056778926171</v>
      </c>
      <c r="F46" s="26">
        <f>COUNTIF(F37:F45, TRUE)/ROWS(B37:B45)</f>
        <v>0.44444444444444442</v>
      </c>
      <c r="G46" s="7">
        <f>SUM(G37:G45)</f>
        <v>840</v>
      </c>
      <c r="H46" s="27">
        <f>SUM(H37:H45)</f>
        <v>1.0383333335555556</v>
      </c>
      <c r="I46" s="27">
        <f>SUM(I37:I45)</f>
        <v>5.1916666677777785</v>
      </c>
      <c r="J46" s="7">
        <f>SUM(J37:J45)</f>
        <v>19</v>
      </c>
      <c r="K46" s="27">
        <f>AVERAGE(K37:K45)</f>
        <v>0.12128767612839569</v>
      </c>
      <c r="L46" s="27">
        <f>COUNTIF(L37:L45, TRUE)/ROWS(B37:B45)</f>
        <v>1</v>
      </c>
      <c r="M46" s="8">
        <f>SUM(M37:M45)</f>
        <v>1138</v>
      </c>
      <c r="N46" s="28">
        <f>AVERAGE(N37:N45)</f>
        <v>0.70145354147680639</v>
      </c>
      <c r="O46" s="28">
        <f>COUNTIF(O37:O45, TRUE)/ROWS(B37:B45)</f>
        <v>0.1111111111111111</v>
      </c>
      <c r="P46" s="6">
        <f>SUM(P37:P45)</f>
        <v>598</v>
      </c>
      <c r="Q46" s="26">
        <f>AVERAGE(Q37:Q45)</f>
        <v>0.2755405683036356</v>
      </c>
      <c r="R46" s="26">
        <f>COUNTIF(R37:R45, TRUE)/ROWS(B37:B45)</f>
        <v>0.66666666666666663</v>
      </c>
      <c r="S46" s="9">
        <f>SUM(S37:S45)</f>
        <v>845</v>
      </c>
      <c r="T46" s="29">
        <f>AVERAGE(T37:T45)</f>
        <v>0.39564404428201128</v>
      </c>
      <c r="U46" s="29">
        <f>COUNTIF(U37:U45, TRUE)/ROWS(B37:B45)</f>
        <v>0.33333333333333331</v>
      </c>
      <c r="V46" s="10">
        <f>SUM(V37:V45)</f>
        <v>1579</v>
      </c>
      <c r="W46" s="30">
        <f>AVERAGE(W37:W45)</f>
        <v>1.037377432334023</v>
      </c>
      <c r="X46" s="30">
        <f>COUNTIF(X37:X45, TRUE)/ROWS(D37:D45)</f>
        <v>0.22222222222222221</v>
      </c>
    </row>
    <row r="47" spans="1:24" x14ac:dyDescent="0.3">
      <c r="A47" s="128" t="s">
        <v>134</v>
      </c>
      <c r="B47" s="12" t="s">
        <v>136</v>
      </c>
      <c r="C47" s="44">
        <v>56</v>
      </c>
      <c r="D47" s="45">
        <v>50</v>
      </c>
      <c r="E47" s="103">
        <f>ABS(C47-D47)/C47</f>
        <v>0.10714285714285714</v>
      </c>
      <c r="F47" s="45" t="b">
        <f>IF(E47&lt;=0.25,TRUE,FALSE)</f>
        <v>1</v>
      </c>
      <c r="G47" s="46">
        <f>5*8</f>
        <v>40</v>
      </c>
      <c r="H47" s="47">
        <v>0.10138888888888889</v>
      </c>
      <c r="I47" s="47">
        <f>5*H47</f>
        <v>0.50694444444444442</v>
      </c>
      <c r="J47" s="46">
        <v>2</v>
      </c>
      <c r="K47" s="47">
        <f>ABS(C47-G47)/C47</f>
        <v>0.2857142857142857</v>
      </c>
      <c r="L47" s="46" t="b">
        <f>IF(K47&lt;=0.25,TRUE,FALSE)</f>
        <v>0</v>
      </c>
      <c r="M47" s="11">
        <v>46</v>
      </c>
      <c r="N47" s="18">
        <f>ABS(C47-M47)/C47</f>
        <v>0.17857142857142858</v>
      </c>
      <c r="O47" s="11" t="b">
        <f>IF(N47&lt;=0.25,TRUE,FALSE)</f>
        <v>1</v>
      </c>
      <c r="P47" s="45">
        <v>46</v>
      </c>
      <c r="Q47" s="103">
        <f>ABS(C47-P47)/C47</f>
        <v>0.17857142857142858</v>
      </c>
      <c r="R47" s="45" t="b">
        <f>IF(Q47&lt;=0.25,TRUE,FALSE)</f>
        <v>1</v>
      </c>
      <c r="S47" s="104">
        <v>38</v>
      </c>
      <c r="T47" s="21">
        <f>ABS(C47-S47)/C47</f>
        <v>0.32142857142857145</v>
      </c>
      <c r="U47" s="104" t="b">
        <f>IF(T47&lt;=0.25,TRUE,FALSE)</f>
        <v>0</v>
      </c>
      <c r="V47" s="105">
        <v>65</v>
      </c>
      <c r="W47" s="106">
        <f>ABS(C47-V47)/C47</f>
        <v>0.16071428571428573</v>
      </c>
      <c r="X47" s="105" t="b">
        <f>IF(W47&lt;=0.25,TRUE,FALSE)</f>
        <v>1</v>
      </c>
    </row>
    <row r="48" spans="1:24" x14ac:dyDescent="0.3">
      <c r="A48" s="129"/>
      <c r="B48" s="12" t="s">
        <v>137</v>
      </c>
      <c r="C48" s="44">
        <v>59.5</v>
      </c>
      <c r="D48" s="45">
        <v>44</v>
      </c>
      <c r="E48" s="103">
        <f t="shared" ref="E48:E56" si="17">ABS(C48-D48)/C48</f>
        <v>0.26050420168067229</v>
      </c>
      <c r="F48" s="45" t="b">
        <f t="shared" ref="F48:F56" si="18">IF(E48&lt;=0.25,TRUE,FALSE)</f>
        <v>0</v>
      </c>
      <c r="G48" s="46">
        <f>8*8</f>
        <v>64</v>
      </c>
      <c r="H48" s="47">
        <v>9.3055555555555558E-2</v>
      </c>
      <c r="I48" s="47">
        <f t="shared" ref="I48:I56" si="19">5*H48</f>
        <v>0.46527777777777779</v>
      </c>
      <c r="J48" s="46">
        <v>2</v>
      </c>
      <c r="K48" s="47">
        <f t="shared" ref="K48:K56" si="20">ABS(C48-G48)/C48</f>
        <v>7.5630252100840331E-2</v>
      </c>
      <c r="L48" s="46" t="b">
        <f t="shared" ref="L48:L56" si="21">IF(K48&lt;=0.25,TRUE,FALSE)</f>
        <v>1</v>
      </c>
      <c r="M48" s="11">
        <v>54</v>
      </c>
      <c r="N48" s="18">
        <f t="shared" ref="N48:N56" si="22">ABS(C48-M48)/C48</f>
        <v>9.2436974789915971E-2</v>
      </c>
      <c r="O48" s="11" t="b">
        <f t="shared" ref="O48:O56" si="23">IF(N48&lt;=0.25,TRUE,FALSE)</f>
        <v>1</v>
      </c>
      <c r="P48" s="45">
        <v>46</v>
      </c>
      <c r="Q48" s="103">
        <f t="shared" ref="Q48:Q56" si="24">ABS(C48-P48)/C48</f>
        <v>0.22689075630252101</v>
      </c>
      <c r="R48" s="45" t="b">
        <f t="shared" ref="R48:R56" si="25">IF(Q48&lt;=0.25,TRUE,FALSE)</f>
        <v>1</v>
      </c>
      <c r="S48" s="104">
        <v>42</v>
      </c>
      <c r="T48" s="21">
        <f t="shared" ref="T48:T56" si="26">ABS(C48-S48)/C48</f>
        <v>0.29411764705882354</v>
      </c>
      <c r="U48" s="104" t="b">
        <f t="shared" ref="U48:U56" si="27">IF(T48&lt;=0.25,TRUE,FALSE)</f>
        <v>0</v>
      </c>
      <c r="V48" s="105">
        <v>49</v>
      </c>
      <c r="W48" s="106">
        <f t="shared" ref="W48:W56" si="28">ABS(C48-V48)/C48</f>
        <v>0.17647058823529413</v>
      </c>
      <c r="X48" s="105" t="b">
        <f t="shared" ref="X48:X56" si="29">IF(W48&lt;=0.25,TRUE,FALSE)</f>
        <v>1</v>
      </c>
    </row>
    <row r="49" spans="1:24" x14ac:dyDescent="0.3">
      <c r="A49" s="129"/>
      <c r="B49" s="12" t="s">
        <v>138</v>
      </c>
      <c r="C49" s="44">
        <v>49.5</v>
      </c>
      <c r="D49" s="45">
        <v>64</v>
      </c>
      <c r="E49" s="103">
        <f t="shared" si="17"/>
        <v>0.29292929292929293</v>
      </c>
      <c r="F49" s="45" t="b">
        <f t="shared" si="18"/>
        <v>0</v>
      </c>
      <c r="G49" s="13">
        <f>5*8</f>
        <v>40</v>
      </c>
      <c r="H49" s="47">
        <v>0.11694444444444445</v>
      </c>
      <c r="I49" s="47">
        <f t="shared" si="19"/>
        <v>0.58472222222222225</v>
      </c>
      <c r="J49" s="46">
        <v>3</v>
      </c>
      <c r="K49" s="47">
        <f t="shared" si="20"/>
        <v>0.19191919191919191</v>
      </c>
      <c r="L49" s="46" t="b">
        <f t="shared" si="21"/>
        <v>1</v>
      </c>
      <c r="M49" s="11">
        <v>30</v>
      </c>
      <c r="N49" s="18">
        <f t="shared" si="22"/>
        <v>0.39393939393939392</v>
      </c>
      <c r="O49" s="11" t="b">
        <f t="shared" si="23"/>
        <v>0</v>
      </c>
      <c r="P49" s="45">
        <v>32</v>
      </c>
      <c r="Q49" s="103">
        <f t="shared" si="24"/>
        <v>0.35353535353535354</v>
      </c>
      <c r="R49" s="45" t="b">
        <f t="shared" si="25"/>
        <v>0</v>
      </c>
      <c r="S49" s="104">
        <v>25</v>
      </c>
      <c r="T49" s="21">
        <f t="shared" si="26"/>
        <v>0.49494949494949497</v>
      </c>
      <c r="U49" s="104" t="b">
        <f t="shared" si="27"/>
        <v>0</v>
      </c>
      <c r="V49" s="105">
        <v>31</v>
      </c>
      <c r="W49" s="106">
        <f t="shared" si="28"/>
        <v>0.37373737373737376</v>
      </c>
      <c r="X49" s="105" t="b">
        <f t="shared" si="29"/>
        <v>0</v>
      </c>
    </row>
    <row r="50" spans="1:24" x14ac:dyDescent="0.3">
      <c r="A50" s="129"/>
      <c r="B50" s="12" t="s">
        <v>139</v>
      </c>
      <c r="C50" s="44">
        <v>92</v>
      </c>
      <c r="D50" s="45">
        <v>100</v>
      </c>
      <c r="E50" s="103">
        <f t="shared" si="17"/>
        <v>8.6956521739130432E-2</v>
      </c>
      <c r="F50" s="45" t="b">
        <f t="shared" si="18"/>
        <v>1</v>
      </c>
      <c r="G50" s="46">
        <f>8*8</f>
        <v>64</v>
      </c>
      <c r="H50" s="47">
        <v>0.12861111111111112</v>
      </c>
      <c r="I50" s="47">
        <f t="shared" si="19"/>
        <v>0.6430555555555556</v>
      </c>
      <c r="J50" s="46">
        <v>2</v>
      </c>
      <c r="K50" s="47">
        <f t="shared" si="20"/>
        <v>0.30434782608695654</v>
      </c>
      <c r="L50" s="46" t="b">
        <f t="shared" si="21"/>
        <v>0</v>
      </c>
      <c r="M50" s="11">
        <v>24</v>
      </c>
      <c r="N50" s="18">
        <f t="shared" si="22"/>
        <v>0.73913043478260865</v>
      </c>
      <c r="O50" s="11" t="b">
        <f t="shared" si="23"/>
        <v>0</v>
      </c>
      <c r="P50" s="45">
        <v>14</v>
      </c>
      <c r="Q50" s="103">
        <f t="shared" si="24"/>
        <v>0.84782608695652173</v>
      </c>
      <c r="R50" s="45" t="b">
        <f t="shared" si="25"/>
        <v>0</v>
      </c>
      <c r="S50" s="104">
        <v>16</v>
      </c>
      <c r="T50" s="21">
        <f t="shared" si="26"/>
        <v>0.82608695652173914</v>
      </c>
      <c r="U50" s="104" t="b">
        <f t="shared" si="27"/>
        <v>0</v>
      </c>
      <c r="V50" s="105">
        <v>20</v>
      </c>
      <c r="W50" s="106">
        <f t="shared" si="28"/>
        <v>0.78260869565217395</v>
      </c>
      <c r="X50" s="105" t="b">
        <f t="shared" si="29"/>
        <v>0</v>
      </c>
    </row>
    <row r="51" spans="1:24" x14ac:dyDescent="0.3">
      <c r="A51" s="129"/>
      <c r="B51" s="12" t="s">
        <v>140</v>
      </c>
      <c r="C51" s="44">
        <v>74.5</v>
      </c>
      <c r="D51" s="45">
        <v>70</v>
      </c>
      <c r="E51" s="103">
        <f t="shared" si="17"/>
        <v>6.0402684563758392E-2</v>
      </c>
      <c r="F51" s="45" t="b">
        <f t="shared" si="18"/>
        <v>1</v>
      </c>
      <c r="G51" s="46">
        <f>8*8</f>
        <v>64</v>
      </c>
      <c r="H51" s="47">
        <v>0.10555555555555556</v>
      </c>
      <c r="I51" s="47">
        <f t="shared" si="19"/>
        <v>0.52777777777777779</v>
      </c>
      <c r="J51" s="46">
        <v>1</v>
      </c>
      <c r="K51" s="47">
        <f t="shared" si="20"/>
        <v>0.14093959731543623</v>
      </c>
      <c r="L51" s="46" t="b">
        <f t="shared" si="21"/>
        <v>1</v>
      </c>
      <c r="M51" s="11">
        <v>22</v>
      </c>
      <c r="N51" s="18">
        <f t="shared" si="22"/>
        <v>0.70469798657718119</v>
      </c>
      <c r="O51" s="11" t="b">
        <f t="shared" si="23"/>
        <v>0</v>
      </c>
      <c r="P51" s="45">
        <v>44</v>
      </c>
      <c r="Q51" s="103">
        <f t="shared" si="24"/>
        <v>0.40939597315436244</v>
      </c>
      <c r="R51" s="45" t="b">
        <f t="shared" si="25"/>
        <v>0</v>
      </c>
      <c r="S51" s="104">
        <v>38</v>
      </c>
      <c r="T51" s="21">
        <f t="shared" si="26"/>
        <v>0.48993288590604028</v>
      </c>
      <c r="U51" s="104" t="b">
        <f t="shared" si="27"/>
        <v>0</v>
      </c>
      <c r="V51" s="105">
        <v>43</v>
      </c>
      <c r="W51" s="106">
        <f t="shared" si="28"/>
        <v>0.42281879194630873</v>
      </c>
      <c r="X51" s="105" t="b">
        <f t="shared" si="29"/>
        <v>0</v>
      </c>
    </row>
    <row r="52" spans="1:24" x14ac:dyDescent="0.3">
      <c r="A52" s="129"/>
      <c r="B52" s="12" t="s">
        <v>141</v>
      </c>
      <c r="C52" s="44">
        <v>88</v>
      </c>
      <c r="D52" s="45">
        <v>64</v>
      </c>
      <c r="E52" s="103">
        <f t="shared" si="17"/>
        <v>0.27272727272727271</v>
      </c>
      <c r="F52" s="45" t="b">
        <f t="shared" si="18"/>
        <v>0</v>
      </c>
      <c r="G52" s="46">
        <f>8*8</f>
        <v>64</v>
      </c>
      <c r="H52" s="47">
        <v>0.13555555555555557</v>
      </c>
      <c r="I52" s="47">
        <f t="shared" si="19"/>
        <v>0.67777777777777781</v>
      </c>
      <c r="J52" s="46">
        <v>2</v>
      </c>
      <c r="K52" s="47">
        <f t="shared" si="20"/>
        <v>0.27272727272727271</v>
      </c>
      <c r="L52" s="46" t="b">
        <f t="shared" si="21"/>
        <v>0</v>
      </c>
      <c r="M52" s="11">
        <v>44</v>
      </c>
      <c r="N52" s="18">
        <f t="shared" si="22"/>
        <v>0.5</v>
      </c>
      <c r="O52" s="11" t="b">
        <f t="shared" si="23"/>
        <v>0</v>
      </c>
      <c r="P52" s="45">
        <v>18</v>
      </c>
      <c r="Q52" s="103">
        <f t="shared" si="24"/>
        <v>0.79545454545454541</v>
      </c>
      <c r="R52" s="45" t="b">
        <f t="shared" si="25"/>
        <v>0</v>
      </c>
      <c r="S52" s="104">
        <v>22</v>
      </c>
      <c r="T52" s="21">
        <f t="shared" si="26"/>
        <v>0.75</v>
      </c>
      <c r="U52" s="104" t="b">
        <f t="shared" si="27"/>
        <v>0</v>
      </c>
      <c r="V52" s="105">
        <v>34</v>
      </c>
      <c r="W52" s="106">
        <f t="shared" si="28"/>
        <v>0.61363636363636365</v>
      </c>
      <c r="X52" s="105" t="b">
        <f t="shared" si="29"/>
        <v>0</v>
      </c>
    </row>
    <row r="53" spans="1:24" x14ac:dyDescent="0.3">
      <c r="A53" s="129"/>
      <c r="B53" s="12" t="s">
        <v>142</v>
      </c>
      <c r="C53" s="44">
        <v>39</v>
      </c>
      <c r="D53" s="45">
        <v>30</v>
      </c>
      <c r="E53" s="103">
        <f t="shared" si="17"/>
        <v>0.23076923076923078</v>
      </c>
      <c r="F53" s="45" t="b">
        <f t="shared" si="18"/>
        <v>1</v>
      </c>
      <c r="G53" s="46">
        <f>3*8</f>
        <v>24</v>
      </c>
      <c r="H53" s="47">
        <v>7.4166666666666672E-2</v>
      </c>
      <c r="I53" s="47">
        <f t="shared" si="19"/>
        <v>0.37083333333333335</v>
      </c>
      <c r="J53" s="46">
        <v>2</v>
      </c>
      <c r="K53" s="47">
        <f t="shared" si="20"/>
        <v>0.38461538461538464</v>
      </c>
      <c r="L53" s="46" t="b">
        <f t="shared" si="21"/>
        <v>0</v>
      </c>
      <c r="M53" s="11">
        <v>28</v>
      </c>
      <c r="N53" s="18">
        <f t="shared" si="22"/>
        <v>0.28205128205128205</v>
      </c>
      <c r="O53" s="11" t="b">
        <f t="shared" si="23"/>
        <v>0</v>
      </c>
      <c r="P53" s="45">
        <v>46</v>
      </c>
      <c r="Q53" s="103">
        <f t="shared" si="24"/>
        <v>0.17948717948717949</v>
      </c>
      <c r="R53" s="45" t="b">
        <f t="shared" si="25"/>
        <v>1</v>
      </c>
      <c r="S53" s="104">
        <v>32</v>
      </c>
      <c r="T53" s="21">
        <f t="shared" si="26"/>
        <v>0.17948717948717949</v>
      </c>
      <c r="U53" s="104" t="b">
        <f t="shared" si="27"/>
        <v>1</v>
      </c>
      <c r="V53" s="105">
        <v>66</v>
      </c>
      <c r="W53" s="106">
        <f t="shared" si="28"/>
        <v>0.69230769230769229</v>
      </c>
      <c r="X53" s="105" t="b">
        <f t="shared" si="29"/>
        <v>0</v>
      </c>
    </row>
    <row r="54" spans="1:24" x14ac:dyDescent="0.3">
      <c r="A54" s="129"/>
      <c r="B54" s="12" t="s">
        <v>143</v>
      </c>
      <c r="C54" s="44">
        <v>53</v>
      </c>
      <c r="D54" s="45">
        <v>70</v>
      </c>
      <c r="E54" s="103">
        <f t="shared" si="17"/>
        <v>0.32075471698113206</v>
      </c>
      <c r="F54" s="45" t="b">
        <f t="shared" si="18"/>
        <v>0</v>
      </c>
      <c r="G54" s="46">
        <f>8*5</f>
        <v>40</v>
      </c>
      <c r="H54" s="47">
        <v>9.9166667E-2</v>
      </c>
      <c r="I54" s="47">
        <f t="shared" si="19"/>
        <v>0.49583333499999999</v>
      </c>
      <c r="J54" s="46">
        <v>2</v>
      </c>
      <c r="K54" s="47">
        <f t="shared" si="20"/>
        <v>0.24528301886792453</v>
      </c>
      <c r="L54" s="46" t="b">
        <f t="shared" si="21"/>
        <v>1</v>
      </c>
      <c r="M54" s="11">
        <v>23</v>
      </c>
      <c r="N54" s="18">
        <f t="shared" si="22"/>
        <v>0.56603773584905659</v>
      </c>
      <c r="O54" s="11" t="b">
        <f t="shared" si="23"/>
        <v>0</v>
      </c>
      <c r="P54" s="45">
        <v>16</v>
      </c>
      <c r="Q54" s="103">
        <f t="shared" si="24"/>
        <v>0.69811320754716977</v>
      </c>
      <c r="R54" s="45" t="b">
        <f t="shared" si="25"/>
        <v>0</v>
      </c>
      <c r="S54" s="104">
        <v>13</v>
      </c>
      <c r="T54" s="21">
        <f t="shared" si="26"/>
        <v>0.75471698113207553</v>
      </c>
      <c r="U54" s="104" t="b">
        <f t="shared" si="27"/>
        <v>0</v>
      </c>
      <c r="V54" s="105">
        <v>14.5</v>
      </c>
      <c r="W54" s="106">
        <f t="shared" si="28"/>
        <v>0.72641509433962259</v>
      </c>
      <c r="X54" s="105" t="b">
        <f t="shared" si="29"/>
        <v>0</v>
      </c>
    </row>
    <row r="55" spans="1:24" x14ac:dyDescent="0.3">
      <c r="A55" s="129"/>
      <c r="B55" s="12" t="s">
        <v>144</v>
      </c>
      <c r="C55" s="44">
        <v>83.5</v>
      </c>
      <c r="D55" s="45">
        <v>112</v>
      </c>
      <c r="E55" s="103">
        <f t="shared" si="17"/>
        <v>0.3413173652694611</v>
      </c>
      <c r="F55" s="45" t="b">
        <f t="shared" si="18"/>
        <v>0</v>
      </c>
      <c r="G55" s="46">
        <f>13*8</f>
        <v>104</v>
      </c>
      <c r="H55" s="47">
        <v>8.3611111000000002E-2</v>
      </c>
      <c r="I55" s="47">
        <f t="shared" si="19"/>
        <v>0.41805555500000002</v>
      </c>
      <c r="J55" s="46">
        <v>2</v>
      </c>
      <c r="K55" s="47">
        <f t="shared" si="20"/>
        <v>0.24550898203592814</v>
      </c>
      <c r="L55" s="46" t="b">
        <f t="shared" si="21"/>
        <v>1</v>
      </c>
      <c r="M55" s="11">
        <v>50</v>
      </c>
      <c r="N55" s="18">
        <f t="shared" si="22"/>
        <v>0.40119760479041916</v>
      </c>
      <c r="O55" s="11" t="b">
        <f t="shared" si="23"/>
        <v>0</v>
      </c>
      <c r="P55" s="45">
        <v>36</v>
      </c>
      <c r="Q55" s="103">
        <f t="shared" si="24"/>
        <v>0.56886227544910184</v>
      </c>
      <c r="R55" s="45" t="b">
        <f t="shared" si="25"/>
        <v>0</v>
      </c>
      <c r="S55" s="104">
        <v>38</v>
      </c>
      <c r="T55" s="21">
        <f>ABS(C55-S55)/C55</f>
        <v>0.54491017964071853</v>
      </c>
      <c r="U55" s="104" t="b">
        <f t="shared" si="27"/>
        <v>0</v>
      </c>
      <c r="V55" s="105">
        <v>60</v>
      </c>
      <c r="W55" s="106">
        <f t="shared" si="28"/>
        <v>0.28143712574850299</v>
      </c>
      <c r="X55" s="105" t="b">
        <f t="shared" si="29"/>
        <v>0</v>
      </c>
    </row>
    <row r="56" spans="1:24" x14ac:dyDescent="0.3">
      <c r="A56" s="130"/>
      <c r="B56" s="12" t="s">
        <v>145</v>
      </c>
      <c r="C56" s="44">
        <v>32</v>
      </c>
      <c r="D56" s="45">
        <v>46</v>
      </c>
      <c r="E56" s="103">
        <f t="shared" si="17"/>
        <v>0.4375</v>
      </c>
      <c r="F56" s="45" t="b">
        <f t="shared" si="18"/>
        <v>0</v>
      </c>
      <c r="G56" s="13">
        <f>3*8</f>
        <v>24</v>
      </c>
      <c r="H56" s="47">
        <v>4.1944444444444444E-2</v>
      </c>
      <c r="I56" s="47">
        <f t="shared" si="19"/>
        <v>0.20972222222222223</v>
      </c>
      <c r="J56" s="46">
        <v>1</v>
      </c>
      <c r="K56" s="47">
        <f t="shared" si="20"/>
        <v>0.25</v>
      </c>
      <c r="L56" s="46" t="b">
        <f t="shared" si="21"/>
        <v>1</v>
      </c>
      <c r="M56" s="11">
        <v>22</v>
      </c>
      <c r="N56" s="18">
        <f t="shared" si="22"/>
        <v>0.3125</v>
      </c>
      <c r="O56" s="11" t="b">
        <f t="shared" si="23"/>
        <v>0</v>
      </c>
      <c r="P56" s="45">
        <v>24</v>
      </c>
      <c r="Q56" s="103">
        <f t="shared" si="24"/>
        <v>0.25</v>
      </c>
      <c r="R56" s="45" t="b">
        <f t="shared" si="25"/>
        <v>1</v>
      </c>
      <c r="S56" s="104">
        <v>22</v>
      </c>
      <c r="T56" s="21">
        <f t="shared" si="26"/>
        <v>0.3125</v>
      </c>
      <c r="U56" s="104" t="b">
        <f t="shared" si="27"/>
        <v>0</v>
      </c>
      <c r="V56" s="105">
        <v>32</v>
      </c>
      <c r="W56" s="106">
        <f t="shared" si="28"/>
        <v>0</v>
      </c>
      <c r="X56" s="105" t="b">
        <f t="shared" si="29"/>
        <v>1</v>
      </c>
    </row>
    <row r="57" spans="1:24" x14ac:dyDescent="0.3">
      <c r="A57" s="15" t="s">
        <v>68</v>
      </c>
      <c r="B57" s="12"/>
      <c r="C57" s="12">
        <f>SUM(C47:C56)</f>
        <v>627</v>
      </c>
      <c r="D57" s="6">
        <f>SUM(D47:D56)</f>
        <v>650</v>
      </c>
      <c r="E57" s="118">
        <f>AVERAGE(E47:E56)</f>
        <v>0.24110041438028079</v>
      </c>
      <c r="F57" s="26">
        <f>COUNTIF(F47:F56, TRUE)/ROWS(B47:B56)</f>
        <v>0.4</v>
      </c>
      <c r="G57" s="7">
        <f>SUM(G47:G56)</f>
        <v>528</v>
      </c>
      <c r="H57" s="27">
        <f>SUM(H47:H56)</f>
        <v>0.98000000022222222</v>
      </c>
      <c r="I57" s="27">
        <f>SUM(I47:I56)</f>
        <v>4.9000000011111116</v>
      </c>
      <c r="J57" s="7">
        <f>SUM(J47:J56)</f>
        <v>19</v>
      </c>
      <c r="K57" s="27">
        <f>AVERAGE(K47:K56)</f>
        <v>0.23966858113832204</v>
      </c>
      <c r="L57" s="27">
        <f>COUNTIF(L47:L56, TRUE)/ROWS(B47:B56)</f>
        <v>0.6</v>
      </c>
      <c r="M57" s="8">
        <f>SUM(M47:M56)</f>
        <v>343</v>
      </c>
      <c r="N57" s="28">
        <f>AVERAGE(N47:N56)</f>
        <v>0.41705628413512857</v>
      </c>
      <c r="O57" s="28">
        <f>COUNTIF(O47:O56, TRUE)/ROWS(B47:B56)</f>
        <v>0.2</v>
      </c>
      <c r="P57" s="6">
        <f>SUM(P47:P56)</f>
        <v>322</v>
      </c>
      <c r="Q57" s="26">
        <f>AVERAGE(Q47:Q56)</f>
        <v>0.45081368064581834</v>
      </c>
      <c r="R57" s="26">
        <f>COUNTIF(R47:R56, TRUE)/ROWS(B47:B56)</f>
        <v>0.4</v>
      </c>
      <c r="S57" s="9">
        <f>SUM(S47:S56)</f>
        <v>286</v>
      </c>
      <c r="T57" s="29">
        <f>AVERAGE(T47:T56)</f>
        <v>0.49681298961246423</v>
      </c>
      <c r="U57" s="29">
        <f>COUNTIF(U47:U56, TRUE)/ROWS(B47:B56)</f>
        <v>0.1</v>
      </c>
      <c r="V57" s="10">
        <f>SUM(V47:V56)</f>
        <v>414.5</v>
      </c>
      <c r="W57" s="30">
        <f>AVERAGE(W47:W56)</f>
        <v>0.42301460113176176</v>
      </c>
      <c r="X57" s="30">
        <f>COUNTIF(X47:X56, TRUE)/ROWS(D47:D56)</f>
        <v>0.3</v>
      </c>
    </row>
    <row r="58" spans="1:24" x14ac:dyDescent="0.3">
      <c r="A58" s="31" t="s">
        <v>98</v>
      </c>
      <c r="B58" s="32"/>
      <c r="C58" s="32">
        <f>SUM(C57,C46,C36,C25,C14)</f>
        <v>3438.7999999999997</v>
      </c>
      <c r="D58" s="32">
        <f>SUM(D57,D46,D36,D25,D14)</f>
        <v>2873</v>
      </c>
      <c r="E58" s="117">
        <f>AVERAGE(E47:E56,E37:E45,E26:E35,E15:E24, E3:E13)</f>
        <v>0.21498367175428332</v>
      </c>
      <c r="F58" s="117">
        <f>(COUNTIF(F3:F13, TRUE) + COUNTIF(F15:F24, TRUE) + COUNTIF(F26:F35, TRUE) + COUNTIF(F37:F45, TRUE) + COUNTIF(F47:F56, TRUE))/(ROWS(B3:B13) + ROWS(B15:B24) + ROWS(B26:B35) + ROWS(B37:B45) + ROWS(B47:B56))</f>
        <v>0.57999999999999996</v>
      </c>
      <c r="G58" s="32">
        <f>SUM(G57,G46,G36,G25,G14)</f>
        <v>3272</v>
      </c>
      <c r="H58" s="117">
        <f>SUM(H57,H46,H36,H25,H14)</f>
        <v>5.5094444448888886</v>
      </c>
      <c r="I58" s="117">
        <f>SUM(I57,I46,I36,I25,I14)</f>
        <v>27.547222224444447</v>
      </c>
      <c r="J58" s="32">
        <f>SUM(J57,J46,J36,J25,J14)</f>
        <v>106</v>
      </c>
      <c r="K58" s="117">
        <f>AVERAGE(K47:K56,K37:K45,K26:K35,K15:K24, K3:K13)</f>
        <v>0.24183384791880008</v>
      </c>
      <c r="L58" s="117">
        <f>(COUNTIF(L3:L13, TRUE) + COUNTIF(L15:L24, TRUE) + COUNTIF(L26:L35, TRUE) + COUNTIF(L37:L45, TRUE) + COUNTIF(L47:L56, TRUE))/(ROWS(B3:B13) + ROWS(B15:B24) + ROWS(B26:B35) + ROWS(B37:B45) + ROWS(B47:B56))</f>
        <v>0.74</v>
      </c>
      <c r="M58" s="32">
        <f>SUM(M57,M46,M36,M25,M14)</f>
        <v>2853</v>
      </c>
      <c r="N58" s="117">
        <f>AVERAGE(N47:N56,N37:N45,N26:N35,N15:N24, N3:N13)</f>
        <v>0.47854684057389285</v>
      </c>
      <c r="O58" s="117">
        <f>(COUNTIF(O3:O13, TRUE) + COUNTIF(O15:O24, TRUE) + COUNTIF(O26:O35, TRUE) + COUNTIF(O37:O45, TRUE) + COUNTIF(O47:O56, TRUE))/(ROWS(B3:B13) + ROWS(B15:B24) + ROWS(B26:B35) + ROWS(B37:B45) + ROWS(B47:B56))</f>
        <v>0.28000000000000003</v>
      </c>
      <c r="P58" s="32">
        <f>SUM(P57,P46,P36,P25,P14)</f>
        <v>2775</v>
      </c>
      <c r="Q58" s="117">
        <f>AVERAGE(Q47:Q56,Q37:Q45,Q26:Q35,Q15:Q24, Q3:Q13)</f>
        <v>0.46582370637921849</v>
      </c>
      <c r="R58" s="117">
        <f>(COUNTIF(R3:R13, TRUE) + COUNTIF(R15:R24, TRUE) + COUNTIF(R26:R35, TRUE) + COUNTIF(R37:R45, TRUE) + COUNTIF(R47:R56, TRUE))/(ROWS(B3:B13) + ROWS(B15:B24) + ROWS(B26:B35) + ROWS(B37:B45) + ROWS(B47:B56))</f>
        <v>0.44</v>
      </c>
      <c r="S58" s="32">
        <f>SUM(S57,S46,S36,S25,S14)</f>
        <v>3043</v>
      </c>
      <c r="T58" s="117">
        <f>AVERAGE(T47:T56,T37:T45,T26:T35,T15:T24, T3:T13)</f>
        <v>0.48769192223621738</v>
      </c>
      <c r="U58" s="117">
        <f>(COUNTIF(U3:U13, TRUE) + COUNTIF(U15:U24, TRUE) + COUNTIF(U26:U35, TRUE) + COUNTIF(U37:U45, TRUE) + COUNTIF(U47:U56, TRUE))/(ROWS(B3:B13) + ROWS(B15:B24) + ROWS(B26:B35) + ROWS(B37:B45) + ROWS(B47:B56))</f>
        <v>0.34</v>
      </c>
      <c r="V58" s="32">
        <f>SUM(V57,V46,V36,V25,V14)</f>
        <v>4565.5</v>
      </c>
      <c r="W58" s="117">
        <f>AVERAGE(W47:W56,W37:W45,W26:W35,W15:W24, W3:W13)</f>
        <v>0.78219400276517048</v>
      </c>
      <c r="X58" s="117">
        <f>(COUNTIF(X3:X13, TRUE) + COUNTIF(X15:X24, TRUE) + COUNTIF(X26:X35, TRUE) + COUNTIF(X37:X45, TRUE) + COUNTIF(X47:X56, TRUE))/(ROWS(B3:B13) + ROWS(B15:B24) + ROWS(B26:B35) + ROWS(B37:B45) + ROWS(B47:B56))</f>
        <v>0.28000000000000003</v>
      </c>
    </row>
  </sheetData>
  <mergeCells count="14">
    <mergeCell ref="A47:A56"/>
    <mergeCell ref="A37:A45"/>
    <mergeCell ref="A1:A2"/>
    <mergeCell ref="A3:A13"/>
    <mergeCell ref="A15:A24"/>
    <mergeCell ref="A26:A35"/>
    <mergeCell ref="M1:O1"/>
    <mergeCell ref="P1:R1"/>
    <mergeCell ref="S1:U1"/>
    <mergeCell ref="V1:X1"/>
    <mergeCell ref="B1:B2"/>
    <mergeCell ref="C1:C2"/>
    <mergeCell ref="D1:F1"/>
    <mergeCell ref="G1:L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opLeftCell="H1" zoomScale="130" zoomScaleNormal="130" workbookViewId="0">
      <selection activeCell="K27" sqref="K27"/>
    </sheetView>
  </sheetViews>
  <sheetFormatPr defaultRowHeight="14.4" x14ac:dyDescent="0.3"/>
  <sheetData>
    <row r="1" spans="1:14" x14ac:dyDescent="0.3">
      <c r="A1" s="142" t="s">
        <v>106</v>
      </c>
      <c r="B1" s="142" t="s">
        <v>109</v>
      </c>
      <c r="C1" s="140" t="s">
        <v>107</v>
      </c>
      <c r="D1" s="140"/>
      <c r="E1" s="140"/>
      <c r="F1" s="140"/>
      <c r="G1" s="140"/>
      <c r="H1" s="140"/>
      <c r="I1" s="141" t="s">
        <v>108</v>
      </c>
      <c r="J1" s="141"/>
      <c r="K1" s="141"/>
      <c r="L1" s="141"/>
      <c r="M1" s="141"/>
      <c r="N1" s="141"/>
    </row>
    <row r="2" spans="1:14" x14ac:dyDescent="0.3">
      <c r="A2" s="142"/>
      <c r="B2" s="142"/>
      <c r="C2" s="101" t="s">
        <v>110</v>
      </c>
      <c r="D2" s="101" t="s">
        <v>111</v>
      </c>
      <c r="E2" s="101" t="s">
        <v>0</v>
      </c>
      <c r="F2" s="101" t="s">
        <v>1</v>
      </c>
      <c r="G2" s="101" t="s">
        <v>2</v>
      </c>
      <c r="H2" s="101" t="s">
        <v>3</v>
      </c>
      <c r="I2" s="102" t="s">
        <v>110</v>
      </c>
      <c r="J2" s="102" t="s">
        <v>111</v>
      </c>
      <c r="K2" s="102" t="s">
        <v>0</v>
      </c>
      <c r="L2" s="102" t="s">
        <v>1</v>
      </c>
      <c r="M2" s="102" t="s">
        <v>2</v>
      </c>
      <c r="N2" s="102" t="s">
        <v>3</v>
      </c>
    </row>
    <row r="3" spans="1:14" x14ac:dyDescent="0.3">
      <c r="A3" s="41" t="s">
        <v>67</v>
      </c>
      <c r="B3" s="41" t="s">
        <v>99</v>
      </c>
      <c r="C3" s="48">
        <f>'Estimates &amp; Accuracy - Web'!E10</f>
        <v>0.19448743203845242</v>
      </c>
      <c r="D3" s="43">
        <f>'Estimates &amp; Accuracy - Web'!K10</f>
        <v>0.36148215270664252</v>
      </c>
      <c r="E3" s="49">
        <f>'Estimates &amp; Accuracy - Web'!N10</f>
        <v>3.1565129816405326</v>
      </c>
      <c r="F3" s="43">
        <f>'Estimates &amp; Accuracy - Web'!Q10</f>
        <v>6.3901906863131348</v>
      </c>
      <c r="G3" s="43">
        <f>'Estimates &amp; Accuracy - Web'!T10</f>
        <v>4.5218635253329138</v>
      </c>
      <c r="H3" s="43">
        <f>'Estimates &amp; Accuracy - Web'!W10</f>
        <v>13.392730675281696</v>
      </c>
      <c r="I3" s="112">
        <f>'Estimates &amp; Accuracy - Web'!F10</f>
        <v>0.7142857142857143</v>
      </c>
      <c r="J3" s="113">
        <f>'Estimates &amp; Accuracy - Web'!L10</f>
        <v>0.5714285714285714</v>
      </c>
      <c r="K3" s="113">
        <f>'Estimates &amp; Accuracy - Web'!O10</f>
        <v>0</v>
      </c>
      <c r="L3" s="113">
        <f>'Estimates &amp; Accuracy - Web'!R10</f>
        <v>0</v>
      </c>
      <c r="M3" s="113">
        <f>'Estimates &amp; Accuracy - Web'!U10</f>
        <v>0</v>
      </c>
      <c r="N3" s="113">
        <f>'Estimates &amp; Accuracy - Web'!X10</f>
        <v>0</v>
      </c>
    </row>
    <row r="4" spans="1:14" x14ac:dyDescent="0.3">
      <c r="A4" s="41" t="s">
        <v>69</v>
      </c>
      <c r="B4" s="41" t="s">
        <v>99</v>
      </c>
      <c r="C4" s="48">
        <f>'Estimates &amp; Accuracy - Web'!E24</f>
        <v>0.17069681805525375</v>
      </c>
      <c r="D4" s="43">
        <f>'Estimates &amp; Accuracy - Web'!K24</f>
        <v>0.33762195947213514</v>
      </c>
      <c r="E4" s="49">
        <f>'Estimates &amp; Accuracy - Web'!N24</f>
        <v>0.42877769691021916</v>
      </c>
      <c r="F4" s="43">
        <f>'Estimates &amp; Accuracy - Web'!Q24</f>
        <v>0.69982970219783891</v>
      </c>
      <c r="G4" s="43">
        <f>'Estimates &amp; Accuracy - Web'!T24</f>
        <v>1.0863970419634632</v>
      </c>
      <c r="H4" s="43">
        <f>'Estimates &amp; Accuracy - Web'!W24</f>
        <v>1.9272552692017493</v>
      </c>
      <c r="I4" s="112">
        <f>'Estimates &amp; Accuracy - Web'!F24</f>
        <v>0.69230769230769229</v>
      </c>
      <c r="J4" s="113">
        <f>'Estimates &amp; Accuracy - Web'!L24</f>
        <v>0.53846153846153844</v>
      </c>
      <c r="K4" s="114">
        <f>'Estimates &amp; Accuracy - Web'!O24</f>
        <v>0.46153846153846156</v>
      </c>
      <c r="L4" s="113">
        <f>'Estimates &amp; Accuracy - Web'!R24</f>
        <v>0.38461538461538464</v>
      </c>
      <c r="M4" s="113">
        <f>'Estimates &amp; Accuracy - Web'!U24</f>
        <v>7.6923076923076927E-2</v>
      </c>
      <c r="N4" s="113">
        <f>'Estimates &amp; Accuracy - Web'!X24</f>
        <v>0</v>
      </c>
    </row>
    <row r="5" spans="1:14" x14ac:dyDescent="0.3">
      <c r="A5" s="41" t="s">
        <v>70</v>
      </c>
      <c r="B5" s="41" t="s">
        <v>99</v>
      </c>
      <c r="C5" s="48">
        <f>'Estimates &amp; Accuracy - Web'!E37</f>
        <v>0.22107725345178528</v>
      </c>
      <c r="D5" s="43">
        <f>'Estimates &amp; Accuracy - Web'!K37</f>
        <v>0.32337149293924905</v>
      </c>
      <c r="E5" s="49">
        <f>'Estimates &amp; Accuracy - Web'!N37</f>
        <v>0.60185136196045042</v>
      </c>
      <c r="F5" s="43">
        <f>'Estimates &amp; Accuracy - Web'!Q37</f>
        <v>1.1347933766060243</v>
      </c>
      <c r="G5" s="43">
        <f>'Estimates &amp; Accuracy - Web'!T37</f>
        <v>0.91711212477512871</v>
      </c>
      <c r="H5" s="43">
        <f>'Estimates &amp; Accuracy - Web'!W37</f>
        <v>1.900645740709284</v>
      </c>
      <c r="I5" s="113">
        <f>'Estimates &amp; Accuracy - Web'!F37</f>
        <v>0.5</v>
      </c>
      <c r="J5" s="112">
        <f>'Estimates &amp; Accuracy - Web'!L37</f>
        <v>0.58333333333333337</v>
      </c>
      <c r="K5" s="114">
        <f>'Estimates &amp; Accuracy - Web'!O37</f>
        <v>0.33333333333333331</v>
      </c>
      <c r="L5" s="113">
        <f>'Estimates &amp; Accuracy - Web'!R37</f>
        <v>0.25</v>
      </c>
      <c r="M5" s="113">
        <f>'Estimates &amp; Accuracy - Web'!U37</f>
        <v>8.3333333333333329E-2</v>
      </c>
      <c r="N5" s="113">
        <f>'Estimates &amp; Accuracy - Web'!X37</f>
        <v>8.3333333333333329E-2</v>
      </c>
    </row>
    <row r="6" spans="1:14" x14ac:dyDescent="0.3">
      <c r="A6" s="41" t="s">
        <v>86</v>
      </c>
      <c r="B6" s="41" t="s">
        <v>99</v>
      </c>
      <c r="C6" s="48">
        <f>'Estimates &amp; Accuracy - Web'!E48</f>
        <v>0.22564743551808078</v>
      </c>
      <c r="D6" s="43">
        <f>'Estimates &amp; Accuracy - Web'!K48</f>
        <v>0.83945528547299819</v>
      </c>
      <c r="E6" s="43">
        <f>'Estimates &amp; Accuracy - Web'!N48</f>
        <v>2.6478919521298856</v>
      </c>
      <c r="F6" s="49">
        <f>'Estimates &amp; Accuracy - Web'!Q48</f>
        <v>0.87138923734249829</v>
      </c>
      <c r="G6" s="43">
        <f>'Estimates &amp; Accuracy - Web'!T48</f>
        <v>1.8027047230942823</v>
      </c>
      <c r="H6" s="43">
        <f>'Estimates &amp; Accuracy - Web'!W48</f>
        <v>2.5060226423543104</v>
      </c>
      <c r="I6" s="112">
        <f>'Estimates &amp; Accuracy - Web'!F48</f>
        <v>0.5</v>
      </c>
      <c r="J6" s="113">
        <f>'Estimates &amp; Accuracy - Web'!L48</f>
        <v>0.2</v>
      </c>
      <c r="K6" s="114">
        <f>'Estimates &amp; Accuracy - Web'!O48</f>
        <v>0.2</v>
      </c>
      <c r="L6" s="113">
        <f>'Estimates &amp; Accuracy - Web'!R48</f>
        <v>0.1</v>
      </c>
      <c r="M6" s="113">
        <f>'Estimates &amp; Accuracy - Web'!U48</f>
        <v>0.1</v>
      </c>
      <c r="N6" s="113">
        <f>'Estimates &amp; Accuracy - Web'!X48</f>
        <v>0.1</v>
      </c>
    </row>
    <row r="7" spans="1:14" x14ac:dyDescent="0.3">
      <c r="A7" s="41" t="s">
        <v>117</v>
      </c>
      <c r="B7" s="41" t="s">
        <v>99</v>
      </c>
      <c r="C7" s="48">
        <f>'Estimates &amp; Accuracy - Web'!E57</f>
        <v>0.18029755447740298</v>
      </c>
      <c r="D7" s="43">
        <f>'Estimates &amp; Accuracy - Web'!K57</f>
        <v>0.37803503840987479</v>
      </c>
      <c r="E7" s="43">
        <f>'Estimates &amp; Accuracy - Web'!N57</f>
        <v>0.84286131224902938</v>
      </c>
      <c r="F7" s="111">
        <f>'Estimates &amp; Accuracy - Web'!Q57</f>
        <v>1.1535473038052249</v>
      </c>
      <c r="G7" s="49">
        <f>'Estimates &amp; Accuracy - Web'!T57</f>
        <v>0.41176470588235292</v>
      </c>
      <c r="H7" s="43">
        <f>'Estimates &amp; Accuracy - Web'!W57</f>
        <v>1.2956803026652228</v>
      </c>
      <c r="I7" s="112">
        <f>'Estimates &amp; Accuracy - Web'!F57</f>
        <v>0.875</v>
      </c>
      <c r="J7" s="113">
        <f>'Estimates &amp; Accuracy - Web'!L57</f>
        <v>0.625</v>
      </c>
      <c r="K7" s="115">
        <f>'Estimates &amp; Accuracy - Web'!O57</f>
        <v>0.25</v>
      </c>
      <c r="L7" s="113">
        <f>'Estimates &amp; Accuracy - Web'!R57</f>
        <v>0.125</v>
      </c>
      <c r="M7" s="114">
        <f>'Estimates &amp; Accuracy - Web'!U57</f>
        <v>0.625</v>
      </c>
      <c r="N7" s="113">
        <f>'Estimates &amp; Accuracy - Web'!X57</f>
        <v>0.375</v>
      </c>
    </row>
    <row r="8" spans="1:14" x14ac:dyDescent="0.3">
      <c r="A8" s="41" t="s">
        <v>125</v>
      </c>
      <c r="B8" s="41" t="s">
        <v>99</v>
      </c>
      <c r="C8" s="48">
        <f>'Estimates &amp; Accuracy - Web'!E68</f>
        <v>0.13106534692463132</v>
      </c>
      <c r="D8" s="43">
        <f>'Estimates &amp; Accuracy - Web'!K68</f>
        <v>0.21719987505752819</v>
      </c>
      <c r="E8" s="49">
        <f>'Estimates &amp; Accuracy - Web'!N68</f>
        <v>0.20216943755946434</v>
      </c>
      <c r="F8" s="111">
        <f>'Estimates &amp; Accuracy - Web'!Q68</f>
        <v>0.34726204762395402</v>
      </c>
      <c r="G8" s="43">
        <f>'Estimates &amp; Accuracy - Web'!T68</f>
        <v>0.46349656498527675</v>
      </c>
      <c r="H8" s="43">
        <f>'Estimates &amp; Accuracy - Web'!W68</f>
        <v>0.31367179787765231</v>
      </c>
      <c r="I8" s="112">
        <f>'Estimates &amp; Accuracy - Web'!F68</f>
        <v>0.8</v>
      </c>
      <c r="J8" s="113">
        <f>'Estimates &amp; Accuracy - Web'!L68</f>
        <v>0.6</v>
      </c>
      <c r="K8" s="114">
        <f>'Estimates &amp; Accuracy - Web'!O68</f>
        <v>0.7</v>
      </c>
      <c r="L8" s="113">
        <f>'Estimates &amp; Accuracy - Web'!R68</f>
        <v>0.4</v>
      </c>
      <c r="M8" s="113">
        <f>'Estimates &amp; Accuracy - Web'!U68</f>
        <v>0.2</v>
      </c>
      <c r="N8" s="113">
        <f>'Estimates &amp; Accuracy - Web'!X68</f>
        <v>0.5</v>
      </c>
    </row>
    <row r="9" spans="1:14" x14ac:dyDescent="0.3">
      <c r="A9" s="22"/>
      <c r="B9" s="22" t="s">
        <v>99</v>
      </c>
      <c r="C9" s="48">
        <v>0</v>
      </c>
      <c r="D9" s="108"/>
      <c r="E9" s="108"/>
      <c r="F9" s="108"/>
      <c r="G9" s="108"/>
      <c r="H9" s="101"/>
      <c r="I9" s="102"/>
      <c r="J9" s="102"/>
      <c r="K9" s="102"/>
      <c r="L9" s="102"/>
      <c r="M9" s="102"/>
      <c r="N9" s="102"/>
    </row>
    <row r="10" spans="1:14" x14ac:dyDescent="0.3">
      <c r="A10" s="41" t="s">
        <v>71</v>
      </c>
      <c r="B10" s="41" t="s">
        <v>100</v>
      </c>
      <c r="C10" s="48">
        <f>'Estimates &amp; Accuracy - Mobile'!E14</f>
        <v>0.14925134194014272</v>
      </c>
      <c r="D10" s="43">
        <f>'Estimates &amp; Accuracy - Mobile'!K14</f>
        <v>0.41442181113575421</v>
      </c>
      <c r="E10" s="49">
        <f>'Estimates &amp; Accuracy - Mobile'!N14</f>
        <v>0.63618057679403373</v>
      </c>
      <c r="F10" s="43">
        <f>'Estimates &amp; Accuracy - Mobile'!Q14</f>
        <v>0.83632539895995028</v>
      </c>
      <c r="G10" s="43">
        <f>'Estimates &amp; Accuracy - Mobile'!T14</f>
        <v>0.80260665038160495</v>
      </c>
      <c r="H10" s="43">
        <f>'Estimates &amp; Accuracy - Mobile'!W14</f>
        <v>1.3032608057572677</v>
      </c>
      <c r="I10" s="112">
        <f>'Estimates &amp; Accuracy - Mobile'!F14</f>
        <v>0.81818181818181823</v>
      </c>
      <c r="J10" s="113">
        <f>'Estimates &amp; Accuracy - Mobile'!L14</f>
        <v>0.54545454545454541</v>
      </c>
      <c r="K10" s="113">
        <f>'Estimates &amp; Accuracy - Mobile'!O14</f>
        <v>0.18181818181818182</v>
      </c>
      <c r="L10" s="114">
        <f>'Estimates &amp; Accuracy - Mobile'!R14</f>
        <v>0.36363636363636365</v>
      </c>
      <c r="M10" s="113">
        <f>'Estimates &amp; Accuracy - Mobile'!U14</f>
        <v>0.27272727272727271</v>
      </c>
      <c r="N10" s="113">
        <f>'Estimates &amp; Accuracy - Mobile'!X14</f>
        <v>0.27272727272727271</v>
      </c>
    </row>
    <row r="11" spans="1:14" x14ac:dyDescent="0.3">
      <c r="A11" s="41" t="s">
        <v>72</v>
      </c>
      <c r="B11" s="41" t="s">
        <v>100</v>
      </c>
      <c r="C11" s="43">
        <f>'Estimates &amp; Accuracy - Mobile'!E25</f>
        <v>0.27677529466330741</v>
      </c>
      <c r="D11" s="48">
        <f>'Estimates &amp; Accuracy - Mobile'!K25</f>
        <v>0.14341675389052855</v>
      </c>
      <c r="E11" s="43">
        <f>'Estimates &amp; Accuracy - Mobile'!N25</f>
        <v>0.39649150789008397</v>
      </c>
      <c r="F11" s="49">
        <f>'Estimates &amp; Accuracy - Mobile'!Q25</f>
        <v>0.28590348640030916</v>
      </c>
      <c r="G11" s="49">
        <f>'Estimates &amp; Accuracy - Mobile'!T25</f>
        <v>0.28598165938088138</v>
      </c>
      <c r="H11" s="43">
        <f>'Estimates &amp; Accuracy - Mobile'!W25</f>
        <v>0.48642186663262132</v>
      </c>
      <c r="I11" s="113">
        <f>'Estimates &amp; Accuracy - Mobile'!F25</f>
        <v>0.4</v>
      </c>
      <c r="J11" s="112">
        <f>'Estimates &amp; Accuracy - Mobile'!L25</f>
        <v>1</v>
      </c>
      <c r="K11" s="113">
        <f>'Estimates &amp; Accuracy - Mobile'!O25</f>
        <v>0.3</v>
      </c>
      <c r="L11" s="114">
        <f>'Estimates &amp; Accuracy - Mobile'!R25</f>
        <v>0.5</v>
      </c>
      <c r="M11" s="114">
        <f>'Estimates &amp; Accuracy - Mobile'!U25</f>
        <v>0.5</v>
      </c>
      <c r="N11" s="113">
        <f>'Estimates &amp; Accuracy - Mobile'!X25</f>
        <v>0.4</v>
      </c>
    </row>
    <row r="12" spans="1:14" x14ac:dyDescent="0.3">
      <c r="A12" s="41" t="s">
        <v>73</v>
      </c>
      <c r="B12" s="41" t="s">
        <v>100</v>
      </c>
      <c r="C12" s="48">
        <f>'Estimates &amp; Accuracy - Mobile'!E36</f>
        <v>0.16292466258333563</v>
      </c>
      <c r="D12" s="43">
        <f>'Estimates &amp; Accuracy - Mobile'!K36</f>
        <v>0.26106100380026404</v>
      </c>
      <c r="E12" s="49">
        <f>'Estimates &amp; Accuracy - Mobile'!N36</f>
        <v>0.24807958904168831</v>
      </c>
      <c r="F12" s="43">
        <f>'Estimates &amp; Accuracy - Mobile'!Q36</f>
        <v>0.42445691452074774</v>
      </c>
      <c r="G12" s="43">
        <f>'Estimates &amp; Accuracy - Mobile'!T36</f>
        <v>0.41671800691416594</v>
      </c>
      <c r="H12" s="43">
        <f>'Estimates &amp; Accuracy - Mobile'!W36</f>
        <v>0.63430697062785446</v>
      </c>
      <c r="I12" s="112">
        <f>'Estimates &amp; Accuracy - Mobile'!F36</f>
        <v>0.8</v>
      </c>
      <c r="J12" s="113">
        <f>'Estimates &amp; Accuracy - Mobile'!L36</f>
        <v>0.6</v>
      </c>
      <c r="K12" s="114">
        <f>'Estimates &amp; Accuracy - Mobile'!O36</f>
        <v>0.6</v>
      </c>
      <c r="L12" s="113">
        <f>'Estimates &amp; Accuracy - Mobile'!R36</f>
        <v>0.3</v>
      </c>
      <c r="M12" s="113">
        <f>'Estimates &amp; Accuracy - Mobile'!U36</f>
        <v>0.5</v>
      </c>
      <c r="N12" s="113">
        <f>'Estimates &amp; Accuracy - Mobile'!X36</f>
        <v>0.2</v>
      </c>
    </row>
    <row r="13" spans="1:14" x14ac:dyDescent="0.3">
      <c r="A13" s="41" t="s">
        <v>97</v>
      </c>
      <c r="B13" s="41" t="s">
        <v>100</v>
      </c>
      <c r="C13" s="43">
        <f>'Estimates &amp; Accuracy - Mobile'!E46</f>
        <v>0.25549056778926171</v>
      </c>
      <c r="D13" s="48">
        <f>'Estimates &amp; Accuracy - Mobile'!K46</f>
        <v>0.12128767612839569</v>
      </c>
      <c r="E13" s="43">
        <f>'Estimates &amp; Accuracy - Mobile'!N46</f>
        <v>0.70145354147680639</v>
      </c>
      <c r="F13" s="49">
        <f>'Estimates &amp; Accuracy - Mobile'!Q46</f>
        <v>0.2755405683036356</v>
      </c>
      <c r="G13" s="43">
        <f>'Estimates &amp; Accuracy - Mobile'!T46</f>
        <v>0.39564404428201128</v>
      </c>
      <c r="H13" s="43">
        <f>'Estimates &amp; Accuracy - Mobile'!W46</f>
        <v>1.037377432334023</v>
      </c>
      <c r="I13" s="113">
        <f>'Estimates &amp; Accuracy - Mobile'!F46</f>
        <v>0.44444444444444442</v>
      </c>
      <c r="J13" s="112">
        <f>'Estimates &amp; Accuracy - Mobile'!L46</f>
        <v>1</v>
      </c>
      <c r="K13" s="113">
        <f>'Estimates &amp; Accuracy - Mobile'!O46</f>
        <v>0.1111111111111111</v>
      </c>
      <c r="L13" s="114">
        <f>'Estimates &amp; Accuracy - Mobile'!R46</f>
        <v>0.66666666666666663</v>
      </c>
      <c r="M13" s="113">
        <f>'Estimates &amp; Accuracy - Mobile'!U46</f>
        <v>0.33333333333333331</v>
      </c>
      <c r="N13" s="113">
        <f>'Estimates &amp; Accuracy - Mobile'!X46</f>
        <v>0.22222222222222221</v>
      </c>
    </row>
    <row r="14" spans="1:14" x14ac:dyDescent="0.3">
      <c r="A14" s="41" t="s">
        <v>134</v>
      </c>
      <c r="B14" s="41" t="s">
        <v>100</v>
      </c>
      <c r="C14" s="43">
        <f>'Estimates &amp; Accuracy - Mobile'!E57</f>
        <v>0.24110041438028079</v>
      </c>
      <c r="D14" s="48">
        <f>'Estimates &amp; Accuracy - Mobile'!K57</f>
        <v>0.23966858113832204</v>
      </c>
      <c r="E14" s="49">
        <f>'Estimates &amp; Accuracy - Mobile'!N57</f>
        <v>0.41705628413512857</v>
      </c>
      <c r="F14" s="111">
        <f>'Estimates &amp; Accuracy - Mobile'!Q57</f>
        <v>0.45081368064581834</v>
      </c>
      <c r="G14" s="43">
        <f>'Estimates &amp; Accuracy - Mobile'!T57</f>
        <v>0.49681298961246423</v>
      </c>
      <c r="H14" s="111">
        <f>'Estimates &amp; Accuracy - Mobile'!W57</f>
        <v>0.42301460113176176</v>
      </c>
      <c r="I14" s="115">
        <f>'Estimates &amp; Accuracy - Mobile'!F57</f>
        <v>0.4</v>
      </c>
      <c r="J14" s="112">
        <f>'Estimates &amp; Accuracy - Mobile'!L57</f>
        <v>0.6</v>
      </c>
      <c r="K14" s="115">
        <f>'Estimates &amp; Accuracy - Mobile'!O57</f>
        <v>0.2</v>
      </c>
      <c r="L14" s="114">
        <f>'Estimates &amp; Accuracy - Mobile'!R57</f>
        <v>0.4</v>
      </c>
      <c r="M14" s="113">
        <f>'Estimates &amp; Accuracy - Mobile'!U57</f>
        <v>0.1</v>
      </c>
      <c r="N14" s="115">
        <f>'Estimates &amp; Accuracy - Mobile'!X57</f>
        <v>0.3</v>
      </c>
    </row>
    <row r="15" spans="1:14" x14ac:dyDescent="0.3">
      <c r="A15" s="22"/>
      <c r="B15" s="22" t="s">
        <v>100</v>
      </c>
      <c r="C15" s="48">
        <v>0</v>
      </c>
      <c r="D15" s="108"/>
      <c r="E15" s="108"/>
      <c r="F15" s="108"/>
      <c r="G15" s="108"/>
      <c r="H15" s="101"/>
      <c r="I15" s="102"/>
      <c r="J15" s="102"/>
      <c r="K15" s="102"/>
      <c r="L15" s="102"/>
      <c r="M15" s="102"/>
      <c r="N15" s="102"/>
    </row>
  </sheetData>
  <mergeCells count="4">
    <mergeCell ref="C1:H1"/>
    <mergeCell ref="I1:N1"/>
    <mergeCell ref="B1:B2"/>
    <mergeCell ref="A1:A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="70" zoomScaleNormal="70" workbookViewId="0">
      <selection activeCell="G25" sqref="G25"/>
    </sheetView>
  </sheetViews>
  <sheetFormatPr defaultRowHeight="14.4" x14ac:dyDescent="0.3"/>
  <cols>
    <col min="1" max="1" width="12.44140625" customWidth="1"/>
    <col min="2" max="2" width="16" customWidth="1"/>
    <col min="3" max="3" width="21" customWidth="1"/>
    <col min="4" max="4" width="8" customWidth="1"/>
    <col min="5" max="5" width="14.77734375" customWidth="1"/>
    <col min="6" max="6" width="11.6640625" customWidth="1"/>
    <col min="7" max="7" width="12.33203125" customWidth="1"/>
    <col min="8" max="8" width="9.77734375" customWidth="1"/>
    <col min="10" max="10" width="7.6640625" customWidth="1"/>
  </cols>
  <sheetData>
    <row r="1" spans="1:14" x14ac:dyDescent="0.3">
      <c r="A1" s="22" t="s">
        <v>58</v>
      </c>
      <c r="B1" s="22" t="s">
        <v>135</v>
      </c>
      <c r="C1" s="142" t="s">
        <v>61</v>
      </c>
      <c r="D1" s="142"/>
      <c r="E1" s="142" t="s">
        <v>62</v>
      </c>
      <c r="F1" s="142"/>
      <c r="G1" s="142" t="s">
        <v>0</v>
      </c>
      <c r="H1" s="142"/>
      <c r="I1" s="142" t="s">
        <v>1</v>
      </c>
      <c r="J1" s="142"/>
      <c r="K1" s="142" t="s">
        <v>2</v>
      </c>
      <c r="L1" s="142"/>
      <c r="M1" s="142" t="s">
        <v>3</v>
      </c>
      <c r="N1" s="142"/>
    </row>
    <row r="2" spans="1:14" x14ac:dyDescent="0.3">
      <c r="A2" s="75" t="s">
        <v>87</v>
      </c>
      <c r="B2" s="91">
        <f>ROWS('Estimates &amp; Accuracy - Web'!B3:B9)</f>
        <v>7</v>
      </c>
      <c r="C2" s="84">
        <f>SUMPRODUCT(--('Estimates &amp; Accuracy - Web'!E3:E9 &lt;= 'Estimates &amp; Accuracy - Web'!K3:K9), --('Estimates &amp; Accuracy - Web'!E3:E9 &lt;= 'Estimates &amp; Accuracy - Web'!N3:N9), --('Estimates &amp; Accuracy - Web'!E3:E9 &lt;= 'Estimates &amp; Accuracy - Web'!Q3:Q9), --('Estimates &amp; Accuracy - Web'!E3:E9 &lt;= 'Estimates &amp; Accuracy - Web'!T3:T9), --('Estimates &amp; Accuracy - Web'!E3:E9 &lt;= 'Estimates &amp; Accuracy - Web'!W3:W9) )</f>
        <v>6</v>
      </c>
      <c r="D2" s="78">
        <f>C2/B2</f>
        <v>0.8571428571428571</v>
      </c>
      <c r="E2" s="79">
        <f>SUMPRODUCT(--('Estimates &amp; Accuracy - Web'!K3:K9 &lt;= 'Estimates &amp; Accuracy - Web'!E3:E9),--('Estimates &amp; Accuracy - Web'!K3:K9 &lt;= 'Estimates &amp; Accuracy - Web'!N3:N9),--('Estimates &amp; Accuracy - Web'!K3:K9 &lt;= 'Estimates &amp; Accuracy - Web'!Q3:Q9),--('Estimates &amp; Accuracy - Web'!K3:K9 &lt;= 'Estimates &amp; Accuracy - Web'!T3:T9),--('Estimates &amp; Accuracy - Web'!K3:K9 &lt;= 'Estimates &amp; Accuracy - Web'!W3:W9) )</f>
        <v>3</v>
      </c>
      <c r="F2" s="76">
        <f>E2/B2</f>
        <v>0.42857142857142855</v>
      </c>
      <c r="G2" s="79">
        <f>SUMPRODUCT(--('Estimates &amp; Accuracy - Web'!N3:N9 &lt;= 'Estimates &amp; Accuracy - Web'!E3:E9),
--('Estimates &amp; Accuracy - Web'!N3:N9 &lt;= 'Estimates &amp; Accuracy - Web'!K3:K9),
--('Estimates &amp; Accuracy - Web'!N3:N9 &lt;= 'Estimates &amp; Accuracy - Web'!Q3:Q9),
--('Estimates &amp; Accuracy - Web'!N3:N9 &lt;= 'Estimates &amp; Accuracy - Web'!T3:T9),
--('Estimates &amp; Accuracy - Web'!N3:N9 &lt;= 'Estimates &amp; Accuracy - Web'!W3:W9) )</f>
        <v>0</v>
      </c>
      <c r="H2" s="82">
        <f>G2/B2</f>
        <v>0</v>
      </c>
      <c r="I2" s="79">
        <f>SUMPRODUCT(--('Estimates &amp; Accuracy - Web'!Q3:Q9 &lt;= 'Estimates &amp; Accuracy - Web'!E3:E9),
--('Estimates &amp; Accuracy - Web'!Q3:Q9 &lt;= 'Estimates &amp; Accuracy - Web'!K3:K9),
--('Estimates &amp; Accuracy - Web'!Q3:Q9 &lt;= 'Estimates &amp; Accuracy - Web'!N3:N9),
--('Estimates &amp; Accuracy - Web'!Q3:Q9 &lt;= 'Estimates &amp; Accuracy - Web'!T3:T9),
--('Estimates &amp; Accuracy - Web'!Q3:Q9 &lt;= 'Estimates &amp; Accuracy - Web'!W3:W9) )</f>
        <v>0</v>
      </c>
      <c r="J2" s="76">
        <f>I2/B2</f>
        <v>0</v>
      </c>
      <c r="K2" s="79">
        <f>SUMPRODUCT(--('Estimates &amp; Accuracy - Web'!T3:T9 &lt;= 'Estimates &amp; Accuracy - Web'!E3:E9),
--('Estimates &amp; Accuracy - Web'!T3:T9 &lt;= 'Estimates &amp; Accuracy - Web'!K3:K9),
--('Estimates &amp; Accuracy - Web'!T3:T9 &lt;= 'Estimates &amp; Accuracy - Web'!N3:N9),
--('Estimates &amp; Accuracy - Web'!T3:T9 &lt;= 'Estimates &amp; Accuracy - Web'!Q3:Q9),
--('Estimates &amp; Accuracy - Web'!T3:T9 &lt;= 'Estimates &amp; Accuracy - Web'!W3:W9) )</f>
        <v>0</v>
      </c>
      <c r="L2" s="76">
        <f>K2/B2</f>
        <v>0</v>
      </c>
      <c r="M2" s="79">
        <f>SUMPRODUCT(--('Estimates &amp; Accuracy - Web'!W3:W9 &lt;= 'Estimates &amp; Accuracy - Web'!E3:E9),
--('Estimates &amp; Accuracy - Web'!W3:W9 &lt;= 'Estimates &amp; Accuracy - Web'!K3:K9),
--('Estimates &amp; Accuracy - Web'!W3:W9 &lt;= 'Estimates &amp; Accuracy - Web'!N3:N9),
--('Estimates &amp; Accuracy - Web'!W3:W9 &lt;= 'Estimates &amp; Accuracy - Web'!Q3:Q9),
--('Estimates &amp; Accuracy - Web'!W3:W9 &lt;= 'Estimates &amp; Accuracy - Web'!T3:T9) )</f>
        <v>0</v>
      </c>
      <c r="N2" s="82">
        <f>M2/B2</f>
        <v>0</v>
      </c>
    </row>
    <row r="3" spans="1:14" x14ac:dyDescent="0.3">
      <c r="A3" s="75" t="s">
        <v>69</v>
      </c>
      <c r="B3" s="92">
        <f>ROWS('Estimates &amp; Accuracy - Web'!B11:B23)</f>
        <v>13</v>
      </c>
      <c r="C3" s="79">
        <f>SUMPRODUCT(--('Estimates &amp; Accuracy - Web'!E11:E23 &lt;= 'Estimates &amp; Accuracy - Web'!K11:K23),
--('Estimates &amp; Accuracy - Web'!E11:E23 &lt;= 'Estimates &amp; Accuracy - Web'!N11:N23),
--('Estimates &amp; Accuracy - Web'!E11:E23 &lt;= 'Estimates &amp; Accuracy - Web'!Q11:Q23),
--('Estimates &amp; Accuracy - Web'!E11:E23 &lt;= 'Estimates &amp; Accuracy - Web'!T11:T23),
--('Estimates &amp; Accuracy - Web'!E11:E23 &lt;= 'Estimates &amp; Accuracy - Web'!W11:W23) )</f>
        <v>6</v>
      </c>
      <c r="D3" s="78">
        <f t="shared" ref="D3:D8" si="0">C3/B3</f>
        <v>0.46153846153846156</v>
      </c>
      <c r="E3" s="79">
        <f>SUMPRODUCT(--('Estimates &amp; Accuracy - Web'!K11:K23 &lt;= 'Estimates &amp; Accuracy - Web'!E11:E23),
--('Estimates &amp; Accuracy - Web'!K11:K23 &lt;= 'Estimates &amp; Accuracy - Web'!N11:N23),
--('Estimates &amp; Accuracy - Web'!K11:K23 &lt;= 'Estimates &amp; Accuracy - Web'!Q11:Q23),
--('Estimates &amp; Accuracy - Web'!K11:K23 &lt;= 'Estimates &amp; Accuracy - Web'!T11:T23),
--('Estimates &amp; Accuracy - Web'!K11:K23 &lt;= 'Estimates &amp; Accuracy - Web'!W11:W23) )</f>
        <v>4</v>
      </c>
      <c r="F3" s="76">
        <f t="shared" ref="F3:F8" si="1">E3/B3</f>
        <v>0.30769230769230771</v>
      </c>
      <c r="G3" s="79">
        <f>SUMPRODUCT(--('Estimates &amp; Accuracy - Web'!N11:N23 &lt;= 'Estimates &amp; Accuracy - Web'!E11:E23),
--('Estimates &amp; Accuracy - Web'!N11:N23 &lt;= 'Estimates &amp; Accuracy - Web'!K11:K23),
--('Estimates &amp; Accuracy - Web'!N11:N23 &lt;= 'Estimates &amp; Accuracy - Web'!Q11:Q23),
--('Estimates &amp; Accuracy - Web'!N11:N23 &lt;= 'Estimates &amp; Accuracy - Web'!T11:T23),
--('Estimates &amp; Accuracy - Web'!N11:N23 &lt;= 'Estimates &amp; Accuracy - Web'!W11:W23) )</f>
        <v>3</v>
      </c>
      <c r="H3" s="87">
        <f t="shared" ref="H3:H8" si="2">G3/B3</f>
        <v>0.23076923076923078</v>
      </c>
      <c r="I3" s="79">
        <f>SUMPRODUCT(--('Estimates &amp; Accuracy - Web'!Q11:Q23 &lt;= 'Estimates &amp; Accuracy - Web'!E11:E23),
--('Estimates &amp; Accuracy - Web'!Q11:Q23 &lt;= 'Estimates &amp; Accuracy - Web'!K11:K23),
--('Estimates &amp; Accuracy - Web'!Q11:Q23 &lt;= 'Estimates &amp; Accuracy - Web'!N11:N23),
--('Estimates &amp; Accuracy - Web'!Q11:Q23 &lt;= 'Estimates &amp; Accuracy - Web'!T11:T23),
--('Estimates &amp; Accuracy - Web'!Q11:Q23 &lt;= 'Estimates &amp; Accuracy - Web'!W11:W23) )</f>
        <v>2</v>
      </c>
      <c r="J3" s="76">
        <f t="shared" ref="J3:J8" si="3">I3/B3</f>
        <v>0.15384615384615385</v>
      </c>
      <c r="K3" s="79">
        <f>SUMPRODUCT(--('Estimates &amp; Accuracy - Web'!T11:T23 &lt;= 'Estimates &amp; Accuracy - Web'!E11:E23),
--('Estimates &amp; Accuracy - Web'!T11:T23 &lt;= 'Estimates &amp; Accuracy - Web'!K11:K23),
--('Estimates &amp; Accuracy - Web'!T11:T23 &lt;= 'Estimates &amp; Accuracy - Web'!N11:N23),
--('Estimates &amp; Accuracy - Web'!T11:T23 &lt;= 'Estimates &amp; Accuracy - Web'!Q11:Q23),
--('Estimates &amp; Accuracy - Web'!T11:T23 &lt;= 'Estimates &amp; Accuracy - Web'!W11:W23) )</f>
        <v>0</v>
      </c>
      <c r="L3" s="76">
        <f t="shared" ref="L3:L8" si="4">K3/B3</f>
        <v>0</v>
      </c>
      <c r="M3" s="79">
        <f>SUMPRODUCT(--('Estimates &amp; Accuracy - Web'!W11:W23 &lt;= 'Estimates &amp; Accuracy - Web'!E11:E23),
--('Estimates &amp; Accuracy - Web'!W11:W23 &lt;= 'Estimates &amp; Accuracy - Web'!K11:K23),
--('Estimates &amp; Accuracy - Web'!W11:W23 &lt;= 'Estimates &amp; Accuracy - Web'!N11:N23),
--('Estimates &amp; Accuracy - Web'!W11:W23 &lt;= 'Estimates &amp; Accuracy - Web'!Q11:Q23),
--('Estimates &amp; Accuracy - Web'!W11:W23 &lt;= 'Estimates &amp; Accuracy - Web'!T11:T23) )</f>
        <v>0</v>
      </c>
      <c r="N3" s="82">
        <f t="shared" ref="N3:N8" si="5">M3/B3</f>
        <v>0</v>
      </c>
    </row>
    <row r="4" spans="1:14" x14ac:dyDescent="0.3">
      <c r="A4" s="75" t="s">
        <v>70</v>
      </c>
      <c r="B4" s="92">
        <f>ROWS('Estimates &amp; Accuracy - Web'!B25:B36)</f>
        <v>12</v>
      </c>
      <c r="C4" s="79">
        <f>SUMPRODUCT(--('Estimates &amp; Accuracy - Web'!E25:E36 &lt;= 'Estimates &amp; Accuracy - Web'!K25:K36),
--('Estimates &amp; Accuracy - Web'!E25:E36 &lt;= 'Estimates &amp; Accuracy - Web'!N25:N36),
--('Estimates &amp; Accuracy - Web'!E25:E36 &lt;= 'Estimates &amp; Accuracy - Web'!Q25:Q36),
--('Estimates &amp; Accuracy - Web'!E25:E36 &lt;= 'Estimates &amp; Accuracy - Web'!T25:T36),
--('Estimates &amp; Accuracy - Web'!E25:E36 &lt;= 'Estimates &amp; Accuracy - Web'!W25:W36) )</f>
        <v>5</v>
      </c>
      <c r="D4" s="78">
        <f t="shared" si="0"/>
        <v>0.41666666666666669</v>
      </c>
      <c r="E4" s="79">
        <f>SUMPRODUCT(--('Estimates &amp; Accuracy - Web'!K25:K36 &lt;= 'Estimates &amp; Accuracy - Web'!E25:E36),
--('Estimates &amp; Accuracy - Web'!K25:K36 &lt;= 'Estimates &amp; Accuracy - Web'!N25:N36),
--('Estimates &amp; Accuracy - Web'!K25:K36 &lt;= 'Estimates &amp; Accuracy - Web'!Q25:Q36),
--('Estimates &amp; Accuracy - Web'!K25:K36 &lt;= 'Estimates &amp; Accuracy - Web'!T25:T36),
--('Estimates &amp; Accuracy - Web'!K25:K36 &lt;= 'Estimates &amp; Accuracy - Web'!W25:W36) )</f>
        <v>4</v>
      </c>
      <c r="F4" s="76">
        <f t="shared" si="1"/>
        <v>0.33333333333333331</v>
      </c>
      <c r="G4" s="79">
        <f>SUMPRODUCT(--('Estimates &amp; Accuracy - Web'!N25:N36 &lt;= 'Estimates &amp; Accuracy - Web'!E25:E36),
--('Estimates &amp; Accuracy - Web'!N25:N36 &lt;= 'Estimates &amp; Accuracy - Web'!K25:K36),
--('Estimates &amp; Accuracy - Web'!N25:N36 &lt;= 'Estimates &amp; Accuracy - Web'!Q25:Q36),
--('Estimates &amp; Accuracy - Web'!N25:N36 &lt;= 'Estimates &amp; Accuracy - Web'!T25:T36),
--('Estimates &amp; Accuracy - Web'!N25:N36 &lt;= 'Estimates &amp; Accuracy - Web'!W25:W36) )</f>
        <v>2</v>
      </c>
      <c r="H4" s="87">
        <f t="shared" si="2"/>
        <v>0.16666666666666666</v>
      </c>
      <c r="I4" s="79">
        <f>SUMPRODUCT(--('Estimates &amp; Accuracy - Web'!Q25:Q36 &lt;= 'Estimates &amp; Accuracy - Web'!E25:E36),
--('Estimates &amp; Accuracy - Web'!Q25:Q36 &lt;= 'Estimates &amp; Accuracy - Web'!K25:K36),
--('Estimates &amp; Accuracy - Web'!Q25:Q36 &lt;= 'Estimates &amp; Accuracy - Web'!N25:N36),
--('Estimates &amp; Accuracy - Web'!Q25:Q36 &lt;= 'Estimates &amp; Accuracy - Web'!T25:T36),
--('Estimates &amp; Accuracy - Web'!Q25:Q36 &lt;= 'Estimates &amp; Accuracy - Web'!W25:W36) )</f>
        <v>0</v>
      </c>
      <c r="J4" s="76">
        <f t="shared" si="3"/>
        <v>0</v>
      </c>
      <c r="K4" s="79">
        <f>SUMPRODUCT(--('Estimates &amp; Accuracy - Web'!T25:T36 &lt;= 'Estimates &amp; Accuracy - Web'!E25:E36),
--('Estimates &amp; Accuracy - Web'!T25:T36 &lt;= 'Estimates &amp; Accuracy - Web'!K25:K36),
--('Estimates &amp; Accuracy - Web'!T25:T36 &lt;= 'Estimates &amp; Accuracy - Web'!N25:N36),
--('Estimates &amp; Accuracy - Web'!T25:T36 &lt;= 'Estimates &amp; Accuracy - Web'!Q25:Q36),
--('Estimates &amp; Accuracy - Web'!T25:T36 &lt;= 'Estimates &amp; Accuracy - Web'!W25:W36) )</f>
        <v>0</v>
      </c>
      <c r="L4" s="76">
        <f t="shared" si="4"/>
        <v>0</v>
      </c>
      <c r="M4" s="79">
        <f>SUMPRODUCT(--('Estimates &amp; Accuracy - Web'!W25:W36 &lt;= 'Estimates &amp; Accuracy - Web'!E25:E36),
--('Estimates &amp; Accuracy - Web'!W25:W36 &lt;= 'Estimates &amp; Accuracy - Web'!K25:K36),
--('Estimates &amp; Accuracy - Web'!W25:W36 &lt;= 'Estimates &amp; Accuracy - Web'!N25:N36),
--('Estimates &amp; Accuracy - Web'!W25:W36 &lt;= 'Estimates &amp; Accuracy - Web'!Q25:Q36),
--('Estimates &amp; Accuracy - Web'!W25:W36 &lt;= 'Estimates &amp; Accuracy - Web'!T25:T36) )</f>
        <v>1</v>
      </c>
      <c r="N4" s="82">
        <f t="shared" si="5"/>
        <v>8.3333333333333329E-2</v>
      </c>
    </row>
    <row r="5" spans="1:14" x14ac:dyDescent="0.3">
      <c r="A5" s="75" t="s">
        <v>86</v>
      </c>
      <c r="B5" s="92">
        <f>ROWS('Estimates &amp; Accuracy - Web'!B38:B47)</f>
        <v>10</v>
      </c>
      <c r="C5" s="79">
        <f>SUMPRODUCT(--('Estimates &amp; Accuracy - Web'!E38:E47 &lt;= 'Estimates &amp; Accuracy - Web'!K38:K47),
--('Estimates &amp; Accuracy - Web'!E38:E47 &lt;= 'Estimates &amp; Accuracy - Web'!N38:N47),
--('Estimates &amp; Accuracy - Web'!E38:E47 &lt;= 'Estimates &amp; Accuracy - Web'!Q38:Q47),
--('Estimates &amp; Accuracy - Web'!E38:E47 &lt;= 'Estimates &amp; Accuracy - Web'!T38:T47),
--('Estimates &amp; Accuracy - Web'!E38:E47 &lt;= 'Estimates &amp; Accuracy - Web'!W38:W47) )</f>
        <v>7</v>
      </c>
      <c r="D5" s="78">
        <f t="shared" si="0"/>
        <v>0.7</v>
      </c>
      <c r="E5" s="79">
        <f>SUMPRODUCT(--('Estimates &amp; Accuracy - Web'!K38:K47 &lt;= 'Estimates &amp; Accuracy - Web'!E38:E47),
--('Estimates &amp; Accuracy - Web'!K38:K47 &lt;= 'Estimates &amp; Accuracy - Web'!N38:N47),
--('Estimates &amp; Accuracy - Web'!K38:K47 &lt;= 'Estimates &amp; Accuracy - Web'!Q38:Q47),
--('Estimates &amp; Accuracy - Web'!K38:K47 &lt;= 'Estimates &amp; Accuracy - Web'!T38:T47),
--('Estimates &amp; Accuracy - Web'!K38:K47 &lt;= 'Estimates &amp; Accuracy - Web'!W38:W47) )</f>
        <v>2</v>
      </c>
      <c r="F5" s="76">
        <f t="shared" si="1"/>
        <v>0.2</v>
      </c>
      <c r="G5" s="79">
        <f>SUMPRODUCT(--('Estimates &amp; Accuracy - Web'!N38:N47 &lt;= 'Estimates &amp; Accuracy - Web'!E38:E47),
--('Estimates &amp; Accuracy - Web'!N38:N47 &lt;= 'Estimates &amp; Accuracy - Web'!K38:K47),
--('Estimates &amp; Accuracy - Web'!N38:N47 &lt;= 'Estimates &amp; Accuracy - Web'!Q38:Q47),
--('Estimates &amp; Accuracy - Web'!N38:N47 &lt;= 'Estimates &amp; Accuracy - Web'!T38:T47),
--('Estimates &amp; Accuracy - Web'!N38:N47 &lt;= 'Estimates &amp; Accuracy - Web'!W38:W47) )</f>
        <v>0</v>
      </c>
      <c r="H5" s="82">
        <f t="shared" si="2"/>
        <v>0</v>
      </c>
      <c r="I5" s="79">
        <f>SUMPRODUCT(--('Estimates &amp; Accuracy - Web'!Q38:Q47 &lt;= 'Estimates &amp; Accuracy - Web'!E38:E47),
--('Estimates &amp; Accuracy - Web'!Q38:Q47 &lt;= 'Estimates &amp; Accuracy - Web'!K38:K47),
--('Estimates &amp; Accuracy - Web'!Q38:Q47 &lt;= 'Estimates &amp; Accuracy - Web'!N38:N47),
--('Estimates &amp; Accuracy - Web'!Q38:Q47 &lt;= 'Estimates &amp; Accuracy - Web'!T38:T47),
--('Estimates &amp; Accuracy - Web'!Q38:Q47 &lt;= 'Estimates &amp; Accuracy - Web'!W38:W47) )</f>
        <v>1</v>
      </c>
      <c r="J5" s="88">
        <f t="shared" si="3"/>
        <v>0.1</v>
      </c>
      <c r="K5" s="79">
        <f>SUMPRODUCT(--('Estimates &amp; Accuracy - Web'!T38:T47 &lt;= 'Estimates &amp; Accuracy - Web'!E38:E47),
--('Estimates &amp; Accuracy - Web'!T38:T47 &lt;= 'Estimates &amp; Accuracy - Web'!K38:K47),
--('Estimates &amp; Accuracy - Web'!T38:T47 &lt;= 'Estimates &amp; Accuracy - Web'!N38:N47),
--('Estimates &amp; Accuracy - Web'!T38:T47 &lt;= 'Estimates &amp; Accuracy - Web'!Q38:Q47),
--('Estimates &amp; Accuracy - Web'!T38:T47 &lt;= 'Estimates &amp; Accuracy - Web'!W38:W47) )</f>
        <v>0</v>
      </c>
      <c r="L5" s="76">
        <f t="shared" si="4"/>
        <v>0</v>
      </c>
      <c r="M5" s="79">
        <f>SUMPRODUCT(--('Estimates &amp; Accuracy - Web'!W38:W47 &lt;= 'Estimates &amp; Accuracy - Web'!E38:E47),
--('Estimates &amp; Accuracy - Web'!W38:W47 &lt;= 'Estimates &amp; Accuracy - Web'!K38:K47),
--('Estimates &amp; Accuracy - Web'!W38:W47 &lt;= 'Estimates &amp; Accuracy - Web'!N38:N47),
--('Estimates &amp; Accuracy - Web'!W38:W47 &lt;= 'Estimates &amp; Accuracy - Web'!Q38:Q47),
--('Estimates &amp; Accuracy - Web'!W38:W47 &lt;= 'Estimates &amp; Accuracy - Web'!T38:T47) )</f>
        <v>0</v>
      </c>
      <c r="N5" s="82">
        <f t="shared" si="5"/>
        <v>0</v>
      </c>
    </row>
    <row r="6" spans="1:14" x14ac:dyDescent="0.3">
      <c r="A6" s="75" t="s">
        <v>117</v>
      </c>
      <c r="B6" s="92">
        <f>ROWS('Estimates &amp; Accuracy - Web'!B49:B56)</f>
        <v>8</v>
      </c>
      <c r="C6" s="79">
        <f>SUMPRODUCT(
  --('Estimates &amp; Accuracy - Web'!E49:E56 &lt;= 'Estimates &amp; Accuracy - Web'!K49:K56),
  --('Estimates &amp; Accuracy - Web'!E49:E56 &lt;= 'Estimates &amp; Accuracy - Web'!N49:N56),
  --('Estimates &amp; Accuracy - Web'!E49:E56 &lt;= 'Estimates &amp; Accuracy - Web'!Q49:Q56),
  --('Estimates &amp; Accuracy - Web'!E49:E56 &lt;= 'Estimates &amp; Accuracy - Web'!T49:T56),
  --('Estimates &amp; Accuracy - Web'!E49:E56 &lt;= 'Estimates &amp; Accuracy - Web'!W49:W56)
)</f>
        <v>4</v>
      </c>
      <c r="D6" s="78">
        <f t="shared" si="0"/>
        <v>0.5</v>
      </c>
      <c r="E6" s="79">
        <f>SUMPRODUCT(
  --('Estimates &amp; Accuracy - Web'!K49:K56 &lt;= 'Estimates &amp; Accuracy - Web'!E49:E56),
  --('Estimates &amp; Accuracy - Web'!K49:K56 &lt;= 'Estimates &amp; Accuracy - Web'!N49:N56),
  --('Estimates &amp; Accuracy - Web'!K49:K56 &lt;= 'Estimates &amp; Accuracy - Web'!Q49:Q56),
  --('Estimates &amp; Accuracy - Web'!K49:K56 &lt;= 'Estimates &amp; Accuracy - Web'!T49:T56),
  --('Estimates &amp; Accuracy - Web'!K49:K56 &lt;= 'Estimates &amp; Accuracy - Web'!W49:W56)
)</f>
        <v>1</v>
      </c>
      <c r="F6" s="76">
        <f t="shared" si="1"/>
        <v>0.125</v>
      </c>
      <c r="G6" s="79">
        <f>SUMPRODUCT(
  --('Estimates &amp; Accuracy - Web'!N49:N56 &lt;= 'Estimates &amp; Accuracy - Web'!E49:E56),
  --('Estimates &amp; Accuracy - Web'!N49:N56 &lt;= 'Estimates &amp; Accuracy - Web'!K49:K56),
  --('Estimates &amp; Accuracy - Web'!N49:N56 &lt;= 'Estimates &amp; Accuracy - Web'!Q49:Q56),
  --('Estimates &amp; Accuracy - Web'!N49:N56 &lt;= 'Estimates &amp; Accuracy - Web'!T49:T56),
  --('Estimates &amp; Accuracy - Web'!N49:N56 &lt;= 'Estimates &amp; Accuracy - Web'!W49:W56)
)</f>
        <v>2</v>
      </c>
      <c r="H6" s="87">
        <f t="shared" si="2"/>
        <v>0.25</v>
      </c>
      <c r="I6" s="79">
        <f>SUMPRODUCT(
  --('Estimates &amp; Accuracy - Web'!Q49:Q56 &lt;= 'Estimates &amp; Accuracy - Web'!E49:E56),
  --('Estimates &amp; Accuracy - Web'!Q49:Q56 &lt;= 'Estimates &amp; Accuracy - Web'!K49:K56),
  --('Estimates &amp; Accuracy - Web'!Q49:Q56 &lt;= 'Estimates &amp; Accuracy - Web'!N49:N56),
  --('Estimates &amp; Accuracy - Web'!Q49:Q56 &lt;= 'Estimates &amp; Accuracy - Web'!T49:T56),
  --('Estimates &amp; Accuracy - Web'!Q49:Q56 &lt;= 'Estimates &amp; Accuracy - Web'!W49:W56)
)</f>
        <v>0</v>
      </c>
      <c r="J6" s="76">
        <f t="shared" si="3"/>
        <v>0</v>
      </c>
      <c r="K6" s="79">
        <f>SUMPRODUCT(
  --('Estimates &amp; Accuracy - Web'!T49:T56 &lt;= 'Estimates &amp; Accuracy - Web'!E49:E56),
  --('Estimates &amp; Accuracy - Web'!T49:T56 &lt;= 'Estimates &amp; Accuracy - Web'!K49:K56),
  --('Estimates &amp; Accuracy - Web'!T49:T56 &lt;= 'Estimates &amp; Accuracy - Web'!N49:N56),
  --('Estimates &amp; Accuracy - Web'!T49:T56 &lt;= 'Estimates &amp; Accuracy - Web'!Q49:Q56),
  --('Estimates &amp; Accuracy - Web'!T49:T56 &lt;= 'Estimates &amp; Accuracy - Web'!W49:W56)
)</f>
        <v>1</v>
      </c>
      <c r="L6" s="76">
        <f t="shared" si="4"/>
        <v>0.125</v>
      </c>
      <c r="M6" s="79">
        <f>SUMPRODUCT(
  --('Estimates &amp; Accuracy - Web'!W49:W56 &lt;= 'Estimates &amp; Accuracy - Web'!E49:E56),
  --('Estimates &amp; Accuracy - Web'!W49:W56 &lt;= 'Estimates &amp; Accuracy - Web'!K49:K56),
  --('Estimates &amp; Accuracy - Web'!W49:W56 &lt;= 'Estimates &amp; Accuracy - Web'!N49:N56),
  --('Estimates &amp; Accuracy - Web'!W49:W56 &lt;= 'Estimates &amp; Accuracy - Web'!Q49:Q56),
  --('Estimates &amp; Accuracy - Web'!W49:W56 &lt;= 'Estimates &amp; Accuracy - Web'!T49:T56)
)</f>
        <v>0</v>
      </c>
      <c r="N6" s="82">
        <f t="shared" si="5"/>
        <v>0</v>
      </c>
    </row>
    <row r="7" spans="1:14" x14ac:dyDescent="0.3">
      <c r="A7" s="75" t="s">
        <v>125</v>
      </c>
      <c r="B7" s="92">
        <f>ROWS('Estimates &amp; Accuracy - Web'!B58:B67)</f>
        <v>10</v>
      </c>
      <c r="C7" s="79">
        <f>SUMPRODUCT(
  --('Estimates &amp; Accuracy - Web'!E58:E67 &lt;= 'Estimates &amp; Accuracy - Web'!K58:K67),
  --('Estimates &amp; Accuracy - Web'!E58:E67 &lt;= 'Estimates &amp; Accuracy - Web'!N58:N67),
  --('Estimates &amp; Accuracy - Web'!E58:E67 &lt;= 'Estimates &amp; Accuracy - Web'!Q58:Q67),
  --('Estimates &amp; Accuracy - Web'!E58:E67 &lt;= 'Estimates &amp; Accuracy - Web'!T58:T67),
  --('Estimates &amp; Accuracy - Web'!E58:E67 &lt;= 'Estimates &amp; Accuracy - Web'!W58:W67)
)</f>
        <v>4</v>
      </c>
      <c r="D7" s="78">
        <f t="shared" si="0"/>
        <v>0.4</v>
      </c>
      <c r="E7" s="79">
        <f>SUMPRODUCT(
  --('Estimates &amp; Accuracy - Web'!K58:K67 &lt;= 'Estimates &amp; Accuracy - Web'!E58:E67),
  --('Estimates &amp; Accuracy - Web'!K58:K67 &lt;= 'Estimates &amp; Accuracy - Web'!N58:N67),
  --('Estimates &amp; Accuracy - Web'!K58:K67 &lt;= 'Estimates &amp; Accuracy - Web'!Q58:Q67),
  --('Estimates &amp; Accuracy - Web'!K58:K67 &lt;= 'Estimates &amp; Accuracy - Web'!T58:T67),
  --('Estimates &amp; Accuracy - Web'!K58:K67 &lt;= 'Estimates &amp; Accuracy - Web'!W58:W67)
)</f>
        <v>1</v>
      </c>
      <c r="F7" s="76">
        <f t="shared" si="1"/>
        <v>0.1</v>
      </c>
      <c r="G7" s="79">
        <f>SUMPRODUCT(
  --('Estimates &amp; Accuracy - Web'!N58:N67 &lt;= 'Estimates &amp; Accuracy - Web'!E58:E67),
  --('Estimates &amp; Accuracy - Web'!N58:N67 &lt;= 'Estimates &amp; Accuracy - Web'!K58:K67),
  --('Estimates &amp; Accuracy - Web'!N58:N67 &lt;= 'Estimates &amp; Accuracy - Web'!Q58:Q67),
  --('Estimates &amp; Accuracy - Web'!N58:N67 &lt;= 'Estimates &amp; Accuracy - Web'!T58:T67),
  --('Estimates &amp; Accuracy - Web'!N58:N67 &lt;= 'Estimates &amp; Accuracy - Web'!W58:W67)
)</f>
        <v>3</v>
      </c>
      <c r="H7" s="87">
        <f t="shared" si="2"/>
        <v>0.3</v>
      </c>
      <c r="I7" s="79">
        <f>SUMPRODUCT(
  --('Estimates &amp; Accuracy - Web'!Q58:Q67 &lt;= 'Estimates &amp; Accuracy - Web'!E58:E67),
  --('Estimates &amp; Accuracy - Web'!Q58:Q67 &lt;= 'Estimates &amp; Accuracy - Web'!K58:K67),
  --('Estimates &amp; Accuracy - Web'!Q58:Q67 &lt;= 'Estimates &amp; Accuracy - Web'!N58:N67),
  --('Estimates &amp; Accuracy - Web'!Q58:Q67 &lt;= 'Estimates &amp; Accuracy - Web'!T58:T67),
  --('Estimates &amp; Accuracy - Web'!Q58:Q67 &lt;= 'Estimates &amp; Accuracy - Web'!W58:W67)
)</f>
        <v>1</v>
      </c>
      <c r="J7" s="76">
        <f t="shared" si="3"/>
        <v>0.1</v>
      </c>
      <c r="K7" s="79">
        <f>SUMPRODUCT(
  --('Estimates &amp; Accuracy - Web'!T58:T67 &lt;= 'Estimates &amp; Accuracy - Web'!E58:E67),
  --('Estimates &amp; Accuracy - Web'!T58:T67 &lt;= 'Estimates &amp; Accuracy - Web'!K58:K67),
  --('Estimates &amp; Accuracy - Web'!T58:T67 &lt;= 'Estimates &amp; Accuracy - Web'!N58:N67),
  --('Estimates &amp; Accuracy - Web'!T58:T67 &lt;= 'Estimates &amp; Accuracy - Web'!Q58:Q67),
  --('Estimates &amp; Accuracy - Web'!T58:T67 &lt;= 'Estimates &amp; Accuracy - Web'!W58:W67)
)</f>
        <v>0</v>
      </c>
      <c r="L7" s="76">
        <f t="shared" si="4"/>
        <v>0</v>
      </c>
      <c r="M7" s="79">
        <f>SUMPRODUCT(
  --('Estimates &amp; Accuracy - Web'!W58:W67 &lt;= 'Estimates &amp; Accuracy - Web'!E58:E67),
  --('Estimates &amp; Accuracy - Web'!W58:W67 &lt;= 'Estimates &amp; Accuracy - Web'!K58:K67),
  --('Estimates &amp; Accuracy - Web'!W58:W67 &lt;= 'Estimates &amp; Accuracy - Web'!N58:N67),
  --('Estimates &amp; Accuracy - Web'!W58:W67 &lt;= 'Estimates &amp; Accuracy - Web'!Q58:Q67),
  --('Estimates &amp; Accuracy - Web'!W58:W67 &lt;= 'Estimates &amp; Accuracy - Web'!T58:T67)
)</f>
        <v>2</v>
      </c>
      <c r="N7" s="82">
        <f t="shared" si="5"/>
        <v>0.2</v>
      </c>
    </row>
    <row r="8" spans="1:14" x14ac:dyDescent="0.3">
      <c r="A8" s="81" t="s">
        <v>99</v>
      </c>
      <c r="B8" s="42">
        <f>SUM(B2:B6)</f>
        <v>50</v>
      </c>
      <c r="C8" s="42">
        <f>SUM(C2:C6)</f>
        <v>28</v>
      </c>
      <c r="D8" s="119">
        <f t="shared" si="0"/>
        <v>0.56000000000000005</v>
      </c>
      <c r="E8" s="42">
        <f>SUM(E2:E6)</f>
        <v>14</v>
      </c>
      <c r="F8" s="77">
        <f t="shared" si="1"/>
        <v>0.28000000000000003</v>
      </c>
      <c r="G8" s="42">
        <f>SUM(G2:G6)</f>
        <v>7</v>
      </c>
      <c r="H8" s="123">
        <f t="shared" si="2"/>
        <v>0.14000000000000001</v>
      </c>
      <c r="I8" s="42">
        <f>SUM(I2:I6)</f>
        <v>3</v>
      </c>
      <c r="J8" s="77">
        <f t="shared" si="3"/>
        <v>0.06</v>
      </c>
      <c r="K8" s="42">
        <f>SUM(K2:K6)</f>
        <v>1</v>
      </c>
      <c r="L8" s="77">
        <f t="shared" si="4"/>
        <v>0.02</v>
      </c>
      <c r="M8" s="42">
        <f>SUM(M2:M6)</f>
        <v>1</v>
      </c>
      <c r="N8" s="77">
        <f t="shared" si="5"/>
        <v>0.02</v>
      </c>
    </row>
    <row r="9" spans="1:14" x14ac:dyDescent="0.3">
      <c r="A9" s="73" t="s">
        <v>71</v>
      </c>
      <c r="B9" s="93">
        <f>ROWS('Estimates &amp; Accuracy - Mobile'!B3:B13)</f>
        <v>11</v>
      </c>
      <c r="C9" s="80">
        <f>SUMPRODUCT(--('Estimates &amp; Accuracy - Mobile'!E3:E13 &lt;= 'Estimates &amp; Accuracy - Mobile'!K3:K13),
--('Estimates &amp; Accuracy - Mobile'!E3:E13 &lt;= 'Estimates &amp; Accuracy - Mobile'!N3:N13),
--('Estimates &amp; Accuracy - Mobile'!E3:E13 &lt;= 'Estimates &amp; Accuracy - Mobile'!Q3:Q13),
--('Estimates &amp; Accuracy - Mobile'!E3:E13 &lt;= 'Estimates &amp; Accuracy - Mobile'!T3:T13),
--('Estimates &amp; Accuracy - Mobile'!E3:E13 &lt;= 'Estimates &amp; Accuracy - Mobile'!W3:W13) )</f>
        <v>6</v>
      </c>
      <c r="D9" s="86">
        <f t="shared" ref="D9:D15" si="6">C9/B9</f>
        <v>0.54545454545454541</v>
      </c>
      <c r="E9" s="80">
        <f>SUMPRODUCT(--('Estimates &amp; Accuracy - Mobile'!K3:K13 &lt;= 'Estimates &amp; Accuracy - Mobile'!E3:E13),
--('Estimates &amp; Accuracy - Mobile'!K3:K13 &lt;= 'Estimates &amp; Accuracy - Mobile'!N3:N13),
--('Estimates &amp; Accuracy - Mobile'!K3:K13 &lt;= 'Estimates &amp; Accuracy - Mobile'!Q3:Q13),
--('Estimates &amp; Accuracy - Mobile'!K3:K13 &lt;= 'Estimates &amp; Accuracy - Mobile'!T3:T13),
--('Estimates &amp; Accuracy - Mobile'!K3:K13 &lt;= 'Estimates &amp; Accuracy - Mobile'!W3:W13) )</f>
        <v>2</v>
      </c>
      <c r="F9" s="74">
        <f t="shared" ref="F9:F15" si="7">E9/B9</f>
        <v>0.18181818181818182</v>
      </c>
      <c r="G9" s="80">
        <f>SUMPRODUCT(--('Estimates &amp; Accuracy - Mobile'!N3:N13 &lt;= 'Estimates &amp; Accuracy - Mobile'!E3:E13),
--('Estimates &amp; Accuracy - Mobile'!N3:N13 &lt;= 'Estimates &amp; Accuracy - Mobile'!K3:K13),
--('Estimates &amp; Accuracy - Mobile'!N3:N13 &lt;= 'Estimates &amp; Accuracy - Mobile'!Q3:Q13),
--('Estimates &amp; Accuracy - Mobile'!N3:N13 &lt;= 'Estimates &amp; Accuracy - Mobile'!T3:T13),
--('Estimates &amp; Accuracy - Mobile'!N3:N13 &lt;= 'Estimates &amp; Accuracy - Mobile'!W3:W13) )</f>
        <v>2</v>
      </c>
      <c r="H9" s="83">
        <f t="shared" ref="H9:H15" si="8">G9/B9</f>
        <v>0.18181818181818182</v>
      </c>
      <c r="I9" s="80">
        <f>SUMPRODUCT(--('Estimates &amp; Accuracy - Mobile'!Q3:Q13 &lt;= 'Estimates &amp; Accuracy - Mobile'!E3:E13),
--('Estimates &amp; Accuracy - Mobile'!Q3:Q13 &lt;= 'Estimates &amp; Accuracy - Mobile'!K3:K13),
--('Estimates &amp; Accuracy - Mobile'!Q3:Q13 &lt;= 'Estimates &amp; Accuracy - Mobile'!N3:N13),
--('Estimates &amp; Accuracy - Mobile'!Q3:Q13 &lt;= 'Estimates &amp; Accuracy - Mobile'!T3:T13),
--('Estimates &amp; Accuracy - Mobile'!Q3:Q13 &lt;= 'Estimates &amp; Accuracy - Mobile'!W3:W13) )</f>
        <v>1</v>
      </c>
      <c r="J9" s="74">
        <f t="shared" ref="J9:J15" si="9">I9/B9</f>
        <v>9.0909090909090912E-2</v>
      </c>
      <c r="K9" s="80">
        <f>SUMPRODUCT(--('Estimates &amp; Accuracy - Mobile'!T3:T13 &lt;= 'Estimates &amp; Accuracy - Mobile'!E3:E13),
--('Estimates &amp; Accuracy - Mobile'!T3:T13 &lt;= 'Estimates &amp; Accuracy - Mobile'!K3:K13),
--('Estimates &amp; Accuracy - Mobile'!T3:T13 &lt;= 'Estimates &amp; Accuracy - Mobile'!N3:N13),
--('Estimates &amp; Accuracy - Mobile'!T3:T13 &lt;= 'Estimates &amp; Accuracy - Mobile'!Q3:Q13),
--('Estimates &amp; Accuracy - Mobile'!T3:T13 &lt;= 'Estimates &amp; Accuracy - Mobile'!W3:W13) )</f>
        <v>3</v>
      </c>
      <c r="L9" s="89">
        <f t="shared" ref="L9:L15" si="10">K9/B9</f>
        <v>0.27272727272727271</v>
      </c>
      <c r="M9" s="80">
        <f>SUMPRODUCT(--('Estimates &amp; Accuracy - Mobile'!W3:W13 &lt;= 'Estimates &amp; Accuracy - Mobile'!E3:E13),
--('Estimates &amp; Accuracy - Mobile'!W3:W13 &lt;= 'Estimates &amp; Accuracy - Mobile'!K3:K13),
--('Estimates &amp; Accuracy - Mobile'!W3:W13 &lt;= 'Estimates &amp; Accuracy - Mobile'!N3:N13),
--('Estimates &amp; Accuracy - Mobile'!W3:W13 &lt;= 'Estimates &amp; Accuracy - Mobile'!Q3:Q13),
--('Estimates &amp; Accuracy - Mobile'!W3:W13 &lt;= 'Estimates &amp; Accuracy - Mobile'!T3:T13) )</f>
        <v>2</v>
      </c>
      <c r="N9" s="83">
        <f t="shared" ref="N9:N15" si="11">M9/B9</f>
        <v>0.18181818181818182</v>
      </c>
    </row>
    <row r="10" spans="1:14" x14ac:dyDescent="0.3">
      <c r="A10" s="73" t="s">
        <v>72</v>
      </c>
      <c r="B10" s="94">
        <f>ROWS('Estimates &amp; Accuracy - Mobile'!B15:B24)</f>
        <v>10</v>
      </c>
      <c r="C10" s="80">
        <f>SUMPRODUCT(--('Estimates &amp; Accuracy - Mobile'!E15:E24 &lt;= 'Estimates &amp; Accuracy - Mobile'!K15:K24),
--('Estimates &amp; Accuracy - Mobile'!E15:E24 &lt;= 'Estimates &amp; Accuracy - Mobile'!N15:N24),
--('Estimates &amp; Accuracy - Mobile'!E15:E24 &lt;= 'Estimates &amp; Accuracy - Mobile'!Q15:Q24),
--('Estimates &amp; Accuracy - Mobile'!E15:E24 &lt;= 'Estimates &amp; Accuracy - Mobile'!T15:T24),
--('Estimates &amp; Accuracy - Mobile'!E15:E24 &lt;= 'Estimates &amp; Accuracy - Mobile'!W15:W24) )</f>
        <v>1</v>
      </c>
      <c r="D10" s="74">
        <f t="shared" si="6"/>
        <v>0.1</v>
      </c>
      <c r="E10" s="80">
        <f>SUMPRODUCT(--('Estimates &amp; Accuracy - Mobile'!K15:K24 &lt;= 'Estimates &amp; Accuracy - Mobile'!E15:E24),
--('Estimates &amp; Accuracy - Mobile'!K15:K24 &lt;= 'Estimates &amp; Accuracy - Mobile'!N15:N24),
--('Estimates &amp; Accuracy - Mobile'!K15:K24 &lt;= 'Estimates &amp; Accuracy - Mobile'!Q15:Q24),
--('Estimates &amp; Accuracy - Mobile'!K15:K24 &lt;= 'Estimates &amp; Accuracy - Mobile'!T15:T24),
--('Estimates &amp; Accuracy - Mobile'!K15:K24 &lt;= 'Estimates &amp; Accuracy - Mobile'!W15:W24) )</f>
        <v>3</v>
      </c>
      <c r="F10" s="86">
        <f t="shared" si="7"/>
        <v>0.3</v>
      </c>
      <c r="G10" s="80">
        <f>SUMPRODUCT(--('Estimates &amp; Accuracy - Mobile'!N15:N24 &lt;= 'Estimates &amp; Accuracy - Mobile'!E15:E24),
--('Estimates &amp; Accuracy - Mobile'!N15:N24 &lt;= 'Estimates &amp; Accuracy - Mobile'!K15:K24),
--('Estimates &amp; Accuracy - Mobile'!N15:N24 &lt;= 'Estimates &amp; Accuracy - Mobile'!Q15:Q24),
--('Estimates &amp; Accuracy - Mobile'!N15:N24 &lt;= 'Estimates &amp; Accuracy - Mobile'!T15:T24),
--('Estimates &amp; Accuracy - Mobile'!N15:N24 &lt;= 'Estimates &amp; Accuracy - Mobile'!W15:W24) )</f>
        <v>3</v>
      </c>
      <c r="H10" s="90">
        <f t="shared" si="8"/>
        <v>0.3</v>
      </c>
      <c r="I10" s="80">
        <f>SUMPRODUCT(--('Estimates &amp; Accuracy - Mobile'!Q15:Q24 &lt;= 'Estimates &amp; Accuracy - Mobile'!E15:E24),
--('Estimates &amp; Accuracy - Mobile'!Q15:Q24 &lt;= 'Estimates &amp; Accuracy - Mobile'!K15:K24),
--('Estimates &amp; Accuracy - Mobile'!Q15:Q24 &lt;= 'Estimates &amp; Accuracy - Mobile'!N15:N24),
--('Estimates &amp; Accuracy - Mobile'!Q15:Q24 &lt;= 'Estimates &amp; Accuracy - Mobile'!T15:T24),
--('Estimates &amp; Accuracy - Mobile'!Q15:Q24 &lt;= 'Estimates &amp; Accuracy - Mobile'!W15:W24) )</f>
        <v>2</v>
      </c>
      <c r="J10" s="74">
        <f t="shared" si="9"/>
        <v>0.2</v>
      </c>
      <c r="K10" s="80">
        <f>SUMPRODUCT(--('Estimates &amp; Accuracy - Mobile'!T15:T24 &lt;= 'Estimates &amp; Accuracy - Mobile'!E15:E24),
--('Estimates &amp; Accuracy - Mobile'!T15:T24 &lt;= 'Estimates &amp; Accuracy - Mobile'!K15:K24),
--('Estimates &amp; Accuracy - Mobile'!T15:T24 &lt;= 'Estimates &amp; Accuracy - Mobile'!N15:N24),
--('Estimates &amp; Accuracy - Mobile'!T15:T24 &lt;= 'Estimates &amp; Accuracy - Mobile'!Q15:Q24),
--('Estimates &amp; Accuracy - Mobile'!T15:T24 &lt;= 'Estimates &amp; Accuracy - Mobile'!W15:W24) )</f>
        <v>1</v>
      </c>
      <c r="L10" s="74">
        <f t="shared" si="10"/>
        <v>0.1</v>
      </c>
      <c r="M10" s="80">
        <f>SUMPRODUCT(--('Estimates &amp; Accuracy - Mobile'!W15:W24 &lt;= 'Estimates &amp; Accuracy - Mobile'!E15:E24),
--('Estimates &amp; Accuracy - Mobile'!W15:W24 &lt;= 'Estimates &amp; Accuracy - Mobile'!K15:K24),
--('Estimates &amp; Accuracy - Mobile'!W15:W24 &lt;= 'Estimates &amp; Accuracy - Mobile'!N15:N24),
--('Estimates &amp; Accuracy - Mobile'!W15:W24 &lt;= 'Estimates &amp; Accuracy - Mobile'!Q15:Q24),
--('Estimates &amp; Accuracy - Mobile'!W15:W24 &lt;= 'Estimates &amp; Accuracy - Mobile'!T15:T24) )</f>
        <v>1</v>
      </c>
      <c r="N10" s="83">
        <f t="shared" si="11"/>
        <v>0.1</v>
      </c>
    </row>
    <row r="11" spans="1:14" x14ac:dyDescent="0.3">
      <c r="A11" s="73" t="s">
        <v>73</v>
      </c>
      <c r="B11" s="94">
        <f>ROWS('Estimates &amp; Accuracy - Mobile'!B26:B35)</f>
        <v>10</v>
      </c>
      <c r="C11" s="80">
        <f>SUMPRODUCT(--('Estimates &amp; Accuracy - Mobile'!E26:E35 &lt;= 'Estimates &amp; Accuracy - Mobile'!K26:K35),
--('Estimates &amp; Accuracy - Mobile'!E26:E35 &lt;= 'Estimates &amp; Accuracy - Mobile'!N26:N35),
--('Estimates &amp; Accuracy - Mobile'!E26:E35 &lt;= 'Estimates &amp; Accuracy - Mobile'!Q26:Q35),
--('Estimates &amp; Accuracy - Mobile'!E26:E35 &lt;= 'Estimates &amp; Accuracy - Mobile'!T26:T35),
--('Estimates &amp; Accuracy - Mobile'!E26:E35 &lt;= 'Estimates &amp; Accuracy - Mobile'!W26:W35) )</f>
        <v>4</v>
      </c>
      <c r="D11" s="86">
        <f t="shared" si="6"/>
        <v>0.4</v>
      </c>
      <c r="E11" s="80">
        <f>SUMPRODUCT(--('Estimates &amp; Accuracy - Mobile'!K26:K35 &lt;= 'Estimates &amp; Accuracy - Mobile'!E26:E35),
--('Estimates &amp; Accuracy - Mobile'!K26:K35 &lt;= 'Estimates &amp; Accuracy - Mobile'!N26:N35),
--('Estimates &amp; Accuracy - Mobile'!K26:K35 &lt;= 'Estimates &amp; Accuracy - Mobile'!Q26:Q35),
--('Estimates &amp; Accuracy - Mobile'!K26:K35 &lt;= 'Estimates &amp; Accuracy - Mobile'!T26:T35),
--('Estimates &amp; Accuracy - Mobile'!K26:K35 &lt;= 'Estimates &amp; Accuracy - Mobile'!W26:W35) )</f>
        <v>2</v>
      </c>
      <c r="F11" s="74">
        <f t="shared" si="7"/>
        <v>0.2</v>
      </c>
      <c r="G11" s="80">
        <f>SUMPRODUCT(--('Estimates &amp; Accuracy - Mobile'!N26:N35 &lt;= 'Estimates &amp; Accuracy - Mobile'!E26:E35),
--('Estimates &amp; Accuracy - Mobile'!N26:N35 &lt;= 'Estimates &amp; Accuracy - Mobile'!K26:K35),
--('Estimates &amp; Accuracy - Mobile'!N26:N35 &lt;= 'Estimates &amp; Accuracy - Mobile'!Q26:Q35),
--('Estimates &amp; Accuracy - Mobile'!N26:N35 &lt;= 'Estimates &amp; Accuracy - Mobile'!T26:T35),
--('Estimates &amp; Accuracy - Mobile'!N26:N35 &lt;= 'Estimates &amp; Accuracy - Mobile'!W26:W35) )</f>
        <v>2</v>
      </c>
      <c r="H11" s="83">
        <f t="shared" si="8"/>
        <v>0.2</v>
      </c>
      <c r="I11" s="80">
        <f>SUMPRODUCT(--('Estimates &amp; Accuracy - Mobile'!Q26:Q35 &lt;= 'Estimates &amp; Accuracy - Mobile'!E26:E35),
--('Estimates &amp; Accuracy - Mobile'!Q26:Q35 &lt;= 'Estimates &amp; Accuracy - Mobile'!K26:K35),
--('Estimates &amp; Accuracy - Mobile'!Q26:Q35 &lt;= 'Estimates &amp; Accuracy - Mobile'!N26:N35),
--('Estimates &amp; Accuracy - Mobile'!Q26:Q35 &lt;= 'Estimates &amp; Accuracy - Mobile'!T26:T35),
--('Estimates &amp; Accuracy - Mobile'!Q26:Q35 &lt;= 'Estimates &amp; Accuracy - Mobile'!W26:W35) )</f>
        <v>0</v>
      </c>
      <c r="J11" s="74">
        <f t="shared" si="9"/>
        <v>0</v>
      </c>
      <c r="K11" s="80">
        <f>SUMPRODUCT(--('Estimates &amp; Accuracy - Mobile'!T26:T35 &lt;= 'Estimates &amp; Accuracy - Mobile'!E26:E35),
--('Estimates &amp; Accuracy - Mobile'!T26:T35 &lt;= 'Estimates &amp; Accuracy - Mobile'!K26:K35),
--('Estimates &amp; Accuracy - Mobile'!T26:T35 &lt;= 'Estimates &amp; Accuracy - Mobile'!N26:N35),
--('Estimates &amp; Accuracy - Mobile'!T26:T35 &lt;= 'Estimates &amp; Accuracy - Mobile'!Q26:Q35),
--('Estimates &amp; Accuracy - Mobile'!T26:T35 &lt;= 'Estimates &amp; Accuracy - Mobile'!W26:W35) )</f>
        <v>3</v>
      </c>
      <c r="L11" s="89">
        <f t="shared" si="10"/>
        <v>0.3</v>
      </c>
      <c r="M11" s="80">
        <f>SUMPRODUCT(--('Estimates &amp; Accuracy - Mobile'!W26:W35 &lt;= 'Estimates &amp; Accuracy - Mobile'!E26:E35),
--('Estimates &amp; Accuracy - Mobile'!W26:W35 &lt;= 'Estimates &amp; Accuracy - Mobile'!K26:K35),
--('Estimates &amp; Accuracy - Mobile'!W26:W35 &lt;= 'Estimates &amp; Accuracy - Mobile'!N26:N35),
--('Estimates &amp; Accuracy - Mobile'!W26:W35 &lt;= 'Estimates &amp; Accuracy - Mobile'!Q26:Q35),
--('Estimates &amp; Accuracy - Mobile'!W26:W35 &lt;= 'Estimates &amp; Accuracy - Mobile'!T26:T35) )</f>
        <v>0</v>
      </c>
      <c r="N11" s="83">
        <f t="shared" si="11"/>
        <v>0</v>
      </c>
    </row>
    <row r="12" spans="1:14" x14ac:dyDescent="0.3">
      <c r="A12" s="100" t="s">
        <v>97</v>
      </c>
      <c r="B12" s="94">
        <f>ROWS('Estimates &amp; Accuracy - Mobile'!B37:B45)</f>
        <v>9</v>
      </c>
      <c r="C12" s="80">
        <f>SUMPRODUCT(--('Estimates &amp; Accuracy - Mobile'!E37:E45 &lt;= 'Estimates &amp; Accuracy - Mobile'!K37:K45),
--('Estimates &amp; Accuracy - Mobile'!E37:E45 &lt;= 'Estimates &amp; Accuracy - Mobile'!N37:N45),
--('Estimates &amp; Accuracy - Mobile'!E37:E45 &lt;= 'Estimates &amp; Accuracy - Mobile'!Q37:Q45),
--('Estimates &amp; Accuracy - Mobile'!E37:E45 &lt;= 'Estimates &amp; Accuracy - Mobile'!T37:T45),
--('Estimates &amp; Accuracy - Mobile'!E37:E45 &lt;= 'Estimates &amp; Accuracy - Mobile'!W37:W45) )</f>
        <v>2</v>
      </c>
      <c r="D12" s="96">
        <f t="shared" si="6"/>
        <v>0.22222222222222221</v>
      </c>
      <c r="E12" s="80">
        <f>SUMPRODUCT(--('Estimates &amp; Accuracy - Mobile'!K37:K45 &lt;= 'Estimates &amp; Accuracy - Mobile'!E37:E45),
--('Estimates &amp; Accuracy - Mobile'!K37:K45 &lt;= 'Estimates &amp; Accuracy - Mobile'!N37:N45),
--('Estimates &amp; Accuracy - Mobile'!K37:K45 &lt;= 'Estimates &amp; Accuracy - Mobile'!Q37:Q45),
--('Estimates &amp; Accuracy - Mobile'!K37:K45 &lt;= 'Estimates &amp; Accuracy - Mobile'!T37:T45),
--('Estimates &amp; Accuracy - Mobile'!K37:K45 &lt;= 'Estimates &amp; Accuracy - Mobile'!W37:W45) )</f>
        <v>5</v>
      </c>
      <c r="F12" s="97">
        <f t="shared" si="7"/>
        <v>0.55555555555555558</v>
      </c>
      <c r="G12" s="80">
        <f>SUMPRODUCT(--('Estimates &amp; Accuracy - Mobile'!N37:N45 &lt;= 'Estimates &amp; Accuracy - Mobile'!E37:E45),
--('Estimates &amp; Accuracy - Mobile'!N37:N45 &lt;= 'Estimates &amp; Accuracy - Mobile'!K37:K45),
--('Estimates &amp; Accuracy - Mobile'!N37:N45 &lt;= 'Estimates &amp; Accuracy - Mobile'!Q37:Q45),
--('Estimates &amp; Accuracy - Mobile'!N37:N45 &lt;= 'Estimates &amp; Accuracy - Mobile'!T37:T45),
--('Estimates &amp; Accuracy - Mobile'!N37:N45 &lt;= 'Estimates &amp; Accuracy - Mobile'!W37:W45) )</f>
        <v>0</v>
      </c>
      <c r="H12" s="83">
        <f t="shared" si="8"/>
        <v>0</v>
      </c>
      <c r="I12" s="80">
        <f>SUMPRODUCT(--('Estimates &amp; Accuracy - Mobile'!Q37:Q45 &lt;= 'Estimates &amp; Accuracy - Mobile'!E37:E45),
--('Estimates &amp; Accuracy - Mobile'!Q37:Q45 &lt;= 'Estimates &amp; Accuracy - Mobile'!K37:K45),
--('Estimates &amp; Accuracy - Mobile'!Q37:Q45 &lt;= 'Estimates &amp; Accuracy - Mobile'!N37:N45),
--('Estimates &amp; Accuracy - Mobile'!Q37:Q45 &lt;= 'Estimates &amp; Accuracy - Mobile'!T37:T45),
--('Estimates &amp; Accuracy - Mobile'!Q37:Q45 &lt;= 'Estimates &amp; Accuracy - Mobile'!W37:W45) )</f>
        <v>2</v>
      </c>
      <c r="J12" s="98">
        <f t="shared" si="9"/>
        <v>0.22222222222222221</v>
      </c>
      <c r="K12" s="80">
        <f>SUMPRODUCT(--('Estimates &amp; Accuracy - Mobile'!T37:T45 &lt;= 'Estimates &amp; Accuracy - Mobile'!E37:E45),
--('Estimates &amp; Accuracy - Mobile'!T37:T45 &lt;= 'Estimates &amp; Accuracy - Mobile'!K37:K45),
--('Estimates &amp; Accuracy - Mobile'!T37:T45 &lt;= 'Estimates &amp; Accuracy - Mobile'!N37:N45),
--('Estimates &amp; Accuracy - Mobile'!T37:T45 &lt;= 'Estimates &amp; Accuracy - Mobile'!Q37:Q45),
--('Estimates &amp; Accuracy - Mobile'!T37:T45 &lt;= 'Estimates &amp; Accuracy - Mobile'!W37:W45) )</f>
        <v>1</v>
      </c>
      <c r="L12" s="96">
        <f t="shared" si="10"/>
        <v>0.1111111111111111</v>
      </c>
      <c r="M12" s="80">
        <f>SUMPRODUCT(--('Estimates &amp; Accuracy - Mobile'!W37:W45 &lt;= 'Estimates &amp; Accuracy - Mobile'!E37:E45),
--('Estimates &amp; Accuracy - Mobile'!W37:W45 &lt;= 'Estimates &amp; Accuracy - Mobile'!K37:K45),
--('Estimates &amp; Accuracy - Mobile'!W37:W45 &lt;= 'Estimates &amp; Accuracy - Mobile'!N37:N45),
--('Estimates &amp; Accuracy - Mobile'!W37:W45 &lt;= 'Estimates &amp; Accuracy - Mobile'!Q37:Q45),
--('Estimates &amp; Accuracy - Mobile'!W37:W45 &lt;= 'Estimates &amp; Accuracy - Mobile'!T37:T45) )</f>
        <v>1</v>
      </c>
      <c r="N12" s="83">
        <f t="shared" si="11"/>
        <v>0.1111111111111111</v>
      </c>
    </row>
    <row r="13" spans="1:14" x14ac:dyDescent="0.3">
      <c r="A13" s="95" t="s">
        <v>134</v>
      </c>
      <c r="B13" s="95">
        <f>ROWS('Estimates &amp; Accuracy - Mobile'!B47:B56)</f>
        <v>10</v>
      </c>
      <c r="C13" s="85">
        <f>SUMPRODUCT(
  --('Estimates &amp; Accuracy - Mobile'!E47:E56 &lt;= 'Estimates &amp; Accuracy - Mobile'!K47:K56),
  --('Estimates &amp; Accuracy - Mobile'!E47:E56 &lt;= 'Estimates &amp; Accuracy - Mobile'!N47:N56),
  --('Estimates &amp; Accuracy - Mobile'!E47:E56 &lt;= 'Estimates &amp; Accuracy - Mobile'!Q47:Q56),
  --('Estimates &amp; Accuracy - Mobile'!E47:E56 &lt;= 'Estimates &amp; Accuracy - Mobile'!T47:T56),
  --('Estimates &amp; Accuracy - Mobile'!E47:E56 &lt;= 'Estimates &amp; Accuracy - Mobile'!W47:W56)
)</f>
        <v>4</v>
      </c>
      <c r="D13" s="120">
        <f t="shared" si="6"/>
        <v>0.4</v>
      </c>
      <c r="E13" s="85">
        <f>SUMPRODUCT(
  --('Estimates &amp; Accuracy - Mobile'!K47:K56 &lt;= 'Estimates &amp; Accuracy - Mobile'!E47:E56),
  --('Estimates &amp; Accuracy - Mobile'!K47:K56 &lt;= 'Estimates &amp; Accuracy - Mobile'!N47:N56),
  --('Estimates &amp; Accuracy - Mobile'!K47:K56 &lt;= 'Estimates &amp; Accuracy - Mobile'!Q47:Q56),
  --('Estimates &amp; Accuracy - Mobile'!K47:K56 &lt;= 'Estimates &amp; Accuracy - Mobile'!T47:T56),
  --('Estimates &amp; Accuracy - Mobile'!K47:K56 &lt;= 'Estimates &amp; Accuracy - Mobile'!W47:W56)
)</f>
        <v>5</v>
      </c>
      <c r="F13" s="121">
        <f>E13/B13</f>
        <v>0.5</v>
      </c>
      <c r="G13" s="85">
        <f>SUMPRODUCT(
  --('Estimates &amp; Accuracy - Mobile'!N47:N56 &lt;= 'Estimates &amp; Accuracy - Mobile'!E47:E56),
  --('Estimates &amp; Accuracy - Mobile'!N47:N56 &lt;= 'Estimates &amp; Accuracy - Mobile'!K47:K56),
  --('Estimates &amp; Accuracy - Mobile'!N47:N56 &lt;= 'Estimates &amp; Accuracy - Mobile'!Q47:Q56),
  --('Estimates &amp; Accuracy - Mobile'!N47:N56 &lt;= 'Estimates &amp; Accuracy - Mobile'!T47:T56),
  --('Estimates &amp; Accuracy - Mobile'!N47:N56 &lt;= 'Estimates &amp; Accuracy - Mobile'!W47:W56)
)</f>
        <v>0</v>
      </c>
      <c r="H13" s="83">
        <f t="shared" si="8"/>
        <v>0</v>
      </c>
      <c r="I13" s="85">
        <f>SUMPRODUCT(
  --('Estimates &amp; Accuracy - Mobile'!Q47:Q56 &lt;= 'Estimates &amp; Accuracy - Mobile'!E47:E56),
  --('Estimates &amp; Accuracy - Mobile'!Q47:Q56 &lt;= 'Estimates &amp; Accuracy - Mobile'!K47:K56),
  --('Estimates &amp; Accuracy - Mobile'!Q47:Q56 &lt;= 'Estimates &amp; Accuracy - Mobile'!N47:N56),
  --('Estimates &amp; Accuracy - Mobile'!Q47:Q56 &lt;= 'Estimates &amp; Accuracy - Mobile'!T47:T56),
  --('Estimates &amp; Accuracy - Mobile'!Q47:Q56 &lt;= 'Estimates &amp; Accuracy - Mobile'!W47:W56)
)</f>
        <v>1</v>
      </c>
      <c r="J13" s="122">
        <f t="shared" si="9"/>
        <v>0.1</v>
      </c>
      <c r="K13" s="85">
        <f>SUMPRODUCT(
  --('Estimates &amp; Accuracy - Mobile'!T47:T56 &lt;= 'Estimates &amp; Accuracy - Mobile'!E47:E56),
  --('Estimates &amp; Accuracy - Mobile'!T47:T56 &lt;= 'Estimates &amp; Accuracy - Mobile'!K47:K56),
  --('Estimates &amp; Accuracy - Mobile'!T47:T56 &lt;= 'Estimates &amp; Accuracy - Mobile'!N47:N56),
  --('Estimates &amp; Accuracy - Mobile'!T47:T56 &lt;= 'Estimates &amp; Accuracy - Mobile'!Q47:Q56),
  --('Estimates &amp; Accuracy - Mobile'!T47:T56 &lt;= 'Estimates &amp; Accuracy - Mobile'!W47:W56)
)</f>
        <v>1</v>
      </c>
      <c r="L13" s="122">
        <f t="shared" si="10"/>
        <v>0.1</v>
      </c>
      <c r="M13" s="85">
        <f>SUMPRODUCT(
  --('Estimates &amp; Accuracy - Mobile'!W47:W56 &lt;= 'Estimates &amp; Accuracy - Mobile'!E47:E56),
  --('Estimates &amp; Accuracy - Mobile'!W47:W56 &lt;= 'Estimates &amp; Accuracy - Mobile'!K47:K56),
  --('Estimates &amp; Accuracy - Mobile'!W47:W56 &lt;= 'Estimates &amp; Accuracy - Mobile'!N47:N56),
  --('Estimates &amp; Accuracy - Mobile'!W47:W56 &lt;= 'Estimates &amp; Accuracy - Mobile'!Q47:Q56),
  --('Estimates &amp; Accuracy - Mobile'!W47:W56 &lt;= 'Estimates &amp; Accuracy - Mobile'!T47:T56)
)</f>
        <v>1</v>
      </c>
      <c r="N13" s="110">
        <f t="shared" si="11"/>
        <v>0.1</v>
      </c>
    </row>
    <row r="14" spans="1:14" x14ac:dyDescent="0.3">
      <c r="A14" s="99" t="s">
        <v>100</v>
      </c>
      <c r="B14" s="95">
        <f>SUM(B9:B13)</f>
        <v>50</v>
      </c>
      <c r="C14" s="95">
        <f>SUM(C9:C13)</f>
        <v>17</v>
      </c>
      <c r="D14" s="121">
        <f t="shared" si="6"/>
        <v>0.34</v>
      </c>
      <c r="E14" s="95">
        <f>SUM(E9:E13)</f>
        <v>17</v>
      </c>
      <c r="F14" s="121">
        <f t="shared" si="7"/>
        <v>0.34</v>
      </c>
      <c r="G14" s="95">
        <f>SUM(G9:G13)</f>
        <v>7</v>
      </c>
      <c r="H14" s="109">
        <f t="shared" si="8"/>
        <v>0.14000000000000001</v>
      </c>
      <c r="I14" s="95">
        <f>SUM(I9:I13)</f>
        <v>6</v>
      </c>
      <c r="J14" s="124">
        <f t="shared" si="9"/>
        <v>0.12</v>
      </c>
      <c r="K14" s="95">
        <f>SUM(K9:K13)</f>
        <v>9</v>
      </c>
      <c r="L14" s="122">
        <f t="shared" si="10"/>
        <v>0.18</v>
      </c>
      <c r="M14" s="95">
        <f>SUM(M9:M13)</f>
        <v>5</v>
      </c>
      <c r="N14" s="125">
        <f t="shared" si="11"/>
        <v>0.1</v>
      </c>
    </row>
    <row r="15" spans="1:14" x14ac:dyDescent="0.3">
      <c r="A15" s="22" t="s">
        <v>98</v>
      </c>
      <c r="B15" s="22">
        <f>SUM(B14,B8)</f>
        <v>100</v>
      </c>
      <c r="C15" s="22">
        <f>SUM(C14,C8)</f>
        <v>45</v>
      </c>
      <c r="D15" s="126">
        <f t="shared" si="6"/>
        <v>0.45</v>
      </c>
      <c r="E15" s="22">
        <f>SUM(E14,E8)</f>
        <v>31</v>
      </c>
      <c r="F15" s="50">
        <f t="shared" si="7"/>
        <v>0.31</v>
      </c>
      <c r="G15" s="22">
        <f>SUM(G14,G8)</f>
        <v>14</v>
      </c>
      <c r="H15" s="127">
        <f t="shared" si="8"/>
        <v>0.14000000000000001</v>
      </c>
      <c r="I15" s="22">
        <f>SUM(I14,I8)</f>
        <v>9</v>
      </c>
      <c r="J15" s="50">
        <f t="shared" si="9"/>
        <v>0.09</v>
      </c>
      <c r="K15" s="22">
        <f>SUM(K14,K8)</f>
        <v>10</v>
      </c>
      <c r="L15" s="50">
        <f t="shared" si="10"/>
        <v>0.1</v>
      </c>
      <c r="M15" s="22">
        <f>SUM(M14,M8)</f>
        <v>6</v>
      </c>
      <c r="N15" s="50">
        <f t="shared" si="11"/>
        <v>0.06</v>
      </c>
    </row>
  </sheetData>
  <mergeCells count="6">
    <mergeCell ref="M1:N1"/>
    <mergeCell ref="I1:J1"/>
    <mergeCell ref="G1:H1"/>
    <mergeCell ref="E1:F1"/>
    <mergeCell ref="C1:D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Estimates &amp; Accuracy - Web</vt:lpstr>
      <vt:lpstr>Estimates &amp; Accuracy - Mobile</vt:lpstr>
      <vt:lpstr>MMRE | PRED</vt:lpstr>
      <vt:lpstr>% of Best MRE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2026-01-10T17:19:14Z</dcterms:modified>
  <cp:category/>
  <cp:contentStatus/>
</cp:coreProperties>
</file>